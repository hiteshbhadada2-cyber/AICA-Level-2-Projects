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gration_Q3FY26_Q4FY26" sheetId="2" state="visible" r:id="rId2"/>
    <sheet xmlns:r="http://schemas.openxmlformats.org/officeDocument/2006/relationships" name="Drilldown_Q3FY26_Q4FY26" sheetId="3" state="visible" r:id="rId3"/>
    <sheet xmlns:r="http://schemas.openxmlformats.org/officeDocument/2006/relationships" name="Product_Q3FY26_Q4FY26" sheetId="4" state="visible" r:id="rId4"/>
    <sheet xmlns:r="http://schemas.openxmlformats.org/officeDocument/2006/relationships" name="Branch_Q3FY26_Q4FY26" sheetId="5" state="visible" r:id="rId5"/>
    <sheet xmlns:r="http://schemas.openxmlformats.org/officeDocument/2006/relationships" name="IndAS107_35H_Q3FY26_Q4FY26" sheetId="6" state="visible" r:id="rId6"/>
    <sheet xmlns:r="http://schemas.openxmlformats.org/officeDocument/2006/relationships" name="IRACP_LoanWorking_Q4FY26" sheetId="7" state="visible" r:id="rId7"/>
    <sheet xmlns:r="http://schemas.openxmlformats.org/officeDocument/2006/relationships" name="RBI_IRACP_Comparison_Q4FY26" sheetId="8" state="visible" r:id="rId8"/>
    <sheet xmlns:r="http://schemas.openxmlformats.org/officeDocument/2006/relationships" name="IRACP_Assumptions_Q4FY26" sheetId="9" state="visible" r:id="rId9"/>
  </sheets>
  <definedNames>
    <definedName name="_xlnm._FilterDatabase" localSheetId="2" hidden="1">'Drilldown_Q3FY26_Q4FY26'!$A$5:$O$42</definedName>
    <definedName name="_xlnm.Print_Titles" localSheetId="2">'Drilldown_Q3FY26_Q4FY26'!$A:$E</definedName>
    <definedName name="_xlnm.Print_Titles" localSheetId="4">'Branch_Q3FY26_Q4FY26'!$A:$D</definedName>
    <definedName name="_xlnm._FilterDatabase" localSheetId="6" hidden="1">'IRACP_LoanWorking_Q4FY26'!$A$4:$N$41</definedName>
    <definedName name="_xlnm.Print_Titles" localSheetId="6">'IRACP_LoanWorking_Q4FY26'!$A:$B</definedName>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12">
    <font>
      <name val="Calibri"/>
      <family val="2"/>
      <color theme="1"/>
      <sz val="11"/>
      <scheme val="minor"/>
    </font>
    <font>
      <b val="1"/>
      <sz val="13"/>
    </font>
    <font>
      <i val="1"/>
      <color rgb="FF666666"/>
      <sz val="9"/>
    </font>
    <font>
      <b val="1"/>
      <color rgb="FFFFFFFF"/>
    </font>
    <font>
      <b val="1"/>
      <color rgb="FF1F4E78"/>
    </font>
    <font>
      <b val="1"/>
      <color rgb="FF000000"/>
    </font>
    <font>
      <b val="1"/>
      <sz val="12"/>
    </font>
    <font>
      <b val="1"/>
    </font>
    <font>
      <b val="1"/>
      <i val="1"/>
    </font>
    <font>
      <color rgb="FF0563C1"/>
      <u val="single"/>
    </font>
    <font>
      <b val="1"/>
      <color rgb="FFC00000"/>
    </font>
    <font>
      <b val="1"/>
      <color rgb="FF006100"/>
    </font>
  </fonts>
  <fills count="8">
    <fill>
      <patternFill/>
    </fill>
    <fill>
      <patternFill patternType="gray125"/>
    </fill>
    <fill>
      <patternFill patternType="solid">
        <fgColor rgb="FF1F4E78"/>
        <bgColor rgb="FF1F4E78"/>
      </patternFill>
    </fill>
    <fill>
      <patternFill patternType="solid">
        <fgColor rgb="FFEAF0F8"/>
        <bgColor rgb="FFEAF0F8"/>
      </patternFill>
    </fill>
    <fill>
      <patternFill patternType="solid">
        <fgColor rgb="FFD6E4F0"/>
        <bgColor rgb="FFD6E4F0"/>
      </patternFill>
    </fill>
    <fill>
      <patternFill patternType="solid">
        <fgColor rgb="FFD9E1F2"/>
        <bgColor rgb="FFD9E1F2"/>
      </patternFill>
    </fill>
    <fill>
      <patternFill patternType="solid">
        <fgColor rgb="FFFCE4E4"/>
        <bgColor rgb="FFFCE4E4"/>
      </patternFill>
    </fill>
    <fill>
      <patternFill patternType="solid">
        <fgColor rgb="FFE2EFDA"/>
        <bgColor rgb="FFE2EFDA"/>
      </patternFill>
    </fill>
  </fills>
  <borders count="2">
    <border>
      <left/>
      <right/>
      <top/>
      <bottom/>
      <diagonal/>
    </border>
    <border>
      <left style="thin">
        <color rgb="FFB7B7B7"/>
      </left>
      <right style="thin">
        <color rgb="FFB7B7B7"/>
      </right>
      <top style="thin">
        <color rgb="FFB7B7B7"/>
      </top>
      <bottom style="thin">
        <color rgb="FFB7B7B7"/>
      </bottom>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horizontal="center"/>
    </xf>
    <xf numFmtId="0" fontId="4" fillId="3" borderId="0" pivotButton="0" quotePrefix="0" xfId="0"/>
    <xf numFmtId="0" fontId="0" fillId="3" borderId="0" pivotButton="0" quotePrefix="0" xfId="0"/>
    <xf numFmtId="0" fontId="0" fillId="0" borderId="1" pivotButton="0" quotePrefix="0" xfId="0"/>
    <xf numFmtId="3" fontId="0" fillId="0" borderId="1" applyAlignment="1" pivotButton="0" quotePrefix="0" xfId="0">
      <alignment horizontal="right"/>
    </xf>
    <xf numFmtId="3" fontId="5" fillId="0" borderId="1" applyAlignment="1" pivotButton="0" quotePrefix="0" xfId="0">
      <alignment horizontal="right"/>
    </xf>
    <xf numFmtId="4" fontId="0" fillId="0" borderId="1" applyAlignment="1" pivotButton="0" quotePrefix="0" xfId="0">
      <alignment horizontal="right"/>
    </xf>
    <xf numFmtId="4" fontId="5" fillId="0" borderId="1" applyAlignment="1" pivotButton="0" quotePrefix="0" xfId="0">
      <alignment horizontal="right"/>
    </xf>
    <xf numFmtId="164" fontId="0" fillId="0" borderId="1" applyAlignment="1" pivotButton="0" quotePrefix="0" xfId="0">
      <alignment horizontal="right"/>
    </xf>
    <xf numFmtId="164" fontId="5" fillId="0" borderId="1" applyAlignment="1" pivotButton="0" quotePrefix="0" xfId="0">
      <alignment horizontal="right"/>
    </xf>
    <xf numFmtId="2" fontId="0" fillId="0" borderId="1" applyAlignment="1" pivotButton="0" quotePrefix="0" xfId="0">
      <alignment horizontal="right"/>
    </xf>
    <xf numFmtId="2" fontId="5" fillId="0" borderId="1" applyAlignment="1" pivotButton="0" quotePrefix="0" xfId="0">
      <alignment horizontal="right"/>
    </xf>
    <xf numFmtId="0" fontId="6" fillId="0" borderId="0" pivotButton="0" quotePrefix="0" xfId="0"/>
    <xf numFmtId="0" fontId="7" fillId="0" borderId="0" pivotButton="0" quotePrefix="0" xfId="0"/>
    <xf numFmtId="0" fontId="8" fillId="0" borderId="0" pivotButton="0" quotePrefix="0" xfId="0"/>
    <xf numFmtId="0" fontId="4" fillId="4" borderId="0" applyAlignment="1" pivotButton="0" quotePrefix="0" xfId="0">
      <alignment horizontal="center" wrapText="1"/>
    </xf>
    <xf numFmtId="0" fontId="4" fillId="4" borderId="0" applyAlignment="1" pivotButton="0" quotePrefix="0" xfId="0">
      <alignment horizontal="center"/>
    </xf>
    <xf numFmtId="164" fontId="9" fillId="5" borderId="1" applyAlignment="1" pivotButton="0" quotePrefix="0" xfId="0">
      <alignment horizontal="center"/>
    </xf>
    <xf numFmtId="164" fontId="9" fillId="6" borderId="1" applyAlignment="1" pivotButton="0" quotePrefix="0" xfId="0">
      <alignment horizontal="center"/>
    </xf>
    <xf numFmtId="164" fontId="0" fillId="6" borderId="1" applyAlignment="1" pivotButton="0" quotePrefix="0" xfId="0">
      <alignment horizontal="center"/>
    </xf>
    <xf numFmtId="164" fontId="7" fillId="0" borderId="1" pivotButton="0" quotePrefix="0" xfId="0"/>
    <xf numFmtId="164" fontId="9" fillId="7" borderId="1" applyAlignment="1" pivotButton="0" quotePrefix="0" xfId="0">
      <alignment horizontal="center"/>
    </xf>
    <xf numFmtId="164" fontId="0" fillId="7" borderId="1" applyAlignment="1" pivotButton="0" quotePrefix="0" xfId="0">
      <alignment horizontal="center"/>
    </xf>
    <xf numFmtId="164" fontId="7" fillId="0" borderId="1" applyAlignment="1" pivotButton="0" quotePrefix="0" xfId="0">
      <alignment horizontal="center"/>
    </xf>
    <xf numFmtId="4" fontId="9" fillId="5" borderId="1" applyAlignment="1" pivotButton="0" quotePrefix="0" xfId="0">
      <alignment horizontal="center"/>
    </xf>
    <xf numFmtId="4" fontId="9" fillId="6" borderId="1" applyAlignment="1" pivotButton="0" quotePrefix="0" xfId="0">
      <alignment horizontal="center"/>
    </xf>
    <xf numFmtId="4" fontId="0" fillId="6" borderId="1" applyAlignment="1" pivotButton="0" quotePrefix="0" xfId="0">
      <alignment horizontal="center"/>
    </xf>
    <xf numFmtId="4" fontId="7" fillId="0" borderId="1" pivotButton="0" quotePrefix="0" xfId="0"/>
    <xf numFmtId="4" fontId="9" fillId="7" borderId="1" applyAlignment="1" pivotButton="0" quotePrefix="0" xfId="0">
      <alignment horizontal="center"/>
    </xf>
    <xf numFmtId="4" fontId="0" fillId="7" borderId="1" applyAlignment="1" pivotButton="0" quotePrefix="0" xfId="0">
      <alignment horizontal="center"/>
    </xf>
    <xf numFmtId="4" fontId="7" fillId="0" borderId="1" applyAlignment="1" pivotButton="0" quotePrefix="0" xfId="0">
      <alignment horizontal="center"/>
    </xf>
    <xf numFmtId="0" fontId="9" fillId="5" borderId="1" applyAlignment="1" pivotButton="0" quotePrefix="0" xfId="0">
      <alignment horizontal="center"/>
    </xf>
    <xf numFmtId="0" fontId="9" fillId="6" borderId="1" applyAlignment="1" pivotButton="0" quotePrefix="0" xfId="0">
      <alignment horizontal="center"/>
    </xf>
    <xf numFmtId="0" fontId="0" fillId="6" borderId="1" applyAlignment="1" pivotButton="0" quotePrefix="0" xfId="0">
      <alignment horizontal="center"/>
    </xf>
    <xf numFmtId="0" fontId="7" fillId="0" borderId="1" pivotButton="0" quotePrefix="0" xfId="0"/>
    <xf numFmtId="0" fontId="9" fillId="7" borderId="1" applyAlignment="1" pivotButton="0" quotePrefix="0" xfId="0">
      <alignment horizontal="center"/>
    </xf>
    <xf numFmtId="0" fontId="0" fillId="7" borderId="1" applyAlignment="1" pivotButton="0" quotePrefix="0" xfId="0">
      <alignment horizontal="center"/>
    </xf>
    <xf numFmtId="0" fontId="7" fillId="0" borderId="1" applyAlignment="1" pivotButton="0" quotePrefix="0" xfId="0">
      <alignment horizontal="center"/>
    </xf>
    <xf numFmtId="164" fontId="0" fillId="5" borderId="1" applyAlignment="1" pivotButton="0" quotePrefix="0" xfId="0">
      <alignment horizontal="center"/>
    </xf>
    <xf numFmtId="4" fontId="0" fillId="5" borderId="1" applyAlignment="1" pivotButton="0" quotePrefix="0" xfId="0">
      <alignment horizontal="center"/>
    </xf>
    <xf numFmtId="0" fontId="0" fillId="5" borderId="1" applyAlignment="1" pivotButton="0" quotePrefix="0" xfId="0">
      <alignment horizontal="center"/>
    </xf>
    <xf numFmtId="0" fontId="9" fillId="0" borderId="0" pivotButton="0" quotePrefix="0" xfId="0"/>
    <xf numFmtId="0" fontId="0" fillId="6" borderId="1" pivotButton="0" quotePrefix="0" xfId="0"/>
    <xf numFmtId="0" fontId="0" fillId="7" borderId="1" pivotButton="0" quotePrefix="0" xfId="0"/>
    <xf numFmtId="0" fontId="3" fillId="2" borderId="0" applyAlignment="1" pivotButton="0" quotePrefix="0" xfId="0">
      <alignment horizontal="center" wrapText="1"/>
    </xf>
    <xf numFmtId="4" fontId="0" fillId="0" borderId="1" pivotButton="0" quotePrefix="0" xfId="0"/>
    <xf numFmtId="164" fontId="0" fillId="0" borderId="1" pivotButton="0" quotePrefix="0" xfId="0"/>
    <xf numFmtId="2" fontId="10" fillId="0" borderId="1" pivotButton="0" quotePrefix="0" xfId="0"/>
    <xf numFmtId="2" fontId="0" fillId="0" borderId="1" pivotButton="0" quotePrefix="0" xfId="0"/>
    <xf numFmtId="4" fontId="0" fillId="0" borderId="0" pivotButton="0" quotePrefix="0" xfId="0"/>
    <xf numFmtId="164" fontId="0" fillId="0" borderId="0" pivotButton="0" quotePrefix="0" xfId="0"/>
    <xf numFmtId="4" fontId="7" fillId="0" borderId="0" pivotButton="0" quotePrefix="0" xfId="0"/>
    <xf numFmtId="164" fontId="7" fillId="0" borderId="0" pivotButton="0" quotePrefix="0" xfId="0"/>
    <xf numFmtId="165" fontId="0" fillId="0" borderId="1" pivotButton="0" quotePrefix="0" xfId="0"/>
    <xf numFmtId="10" fontId="0" fillId="0" borderId="1" pivotButton="0" quotePrefix="0" xfId="0"/>
    <xf numFmtId="3" fontId="0"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BranchDetail_Q3FY26_Q4FY26" displayName="BranchDetail_Q3FY26_Q4FY26" ref="A4:J42" headerRowCount="1" totalsRowCount="1" totalsRowShown="1">
  <autoFilter ref="A4:J41"/>
  <tableColumns count="10">
    <tableColumn id="1" name="LoanID" totalsRowFunction="count"/>
    <tableColumn id="2" name="CustomerName"/>
    <tableColumn id="3" name="Branch"/>
    <tableColumn id="4" name="Product"/>
    <tableColumn id="5" name="Stage (Q3FY26)"/>
    <tableColumn id="6" name="Stage (Q4FY26)"/>
    <tableColumn id="7" name="Outstanding (Q3FY26)" totalsRowFunction="sum"/>
    <tableColumn id="8" name="Outstanding (Q4FY26)" totalsRowFunction="sum"/>
    <tableColumn id="9" name="Provision (Q3FY26)" totalsRowFunction="sum"/>
    <tableColumn id="10" name="Provision (Q4FY26)" totalsRowFunction="s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rilldown_Q3FY26_Q4FY26'!A1" TargetMode="External" Id="rId1"/><Relationship Type="http://schemas.openxmlformats.org/officeDocument/2006/relationships/hyperlink" Target="#'Drilldown_Q3FY26_Q4FY26'!A1" TargetMode="External" Id="rId2"/><Relationship Type="http://schemas.openxmlformats.org/officeDocument/2006/relationships/hyperlink" Target="#'Drilldown_Q3FY26_Q4FY26'!A1" TargetMode="External" Id="rId3"/><Relationship Type="http://schemas.openxmlformats.org/officeDocument/2006/relationships/hyperlink" Target="#'Drilldown_Q3FY26_Q4FY26'!A1" TargetMode="External" Id="rId4"/><Relationship Type="http://schemas.openxmlformats.org/officeDocument/2006/relationships/hyperlink" Target="#'Drilldown_Q3FY26_Q4FY26'!A1" TargetMode="External" Id="rId5"/><Relationship Type="http://schemas.openxmlformats.org/officeDocument/2006/relationships/hyperlink" Target="#'Drilldown_Q3FY26_Q4FY26'!A1" TargetMode="External" Id="rId6"/><Relationship Type="http://schemas.openxmlformats.org/officeDocument/2006/relationships/hyperlink" Target="#'Drilldown_Q3FY26_Q4FY26'!A1" TargetMode="External" Id="rId7"/><Relationship Type="http://schemas.openxmlformats.org/officeDocument/2006/relationships/hyperlink" Target="#'Drilldown_Q3FY26_Q4FY26'!A1" TargetMode="External" Id="rId8"/><Relationship Type="http://schemas.openxmlformats.org/officeDocument/2006/relationships/hyperlink" Target="#'Drilldown_Q3FY26_Q4FY26'!A1" TargetMode="External" Id="rId9"/><Relationship Type="http://schemas.openxmlformats.org/officeDocument/2006/relationships/hyperlink" Target="#'Drilldown_Q3FY26_Q4FY26'!A1" TargetMode="External" Id="rId10"/><Relationship Type="http://schemas.openxmlformats.org/officeDocument/2006/relationships/hyperlink" Target="#'Drilldown_Q3FY26_Q4FY26'!A1" TargetMode="External" Id="rId11"/><Relationship Type="http://schemas.openxmlformats.org/officeDocument/2006/relationships/hyperlink" Target="#'Drilldown_Q3FY26_Q4FY26'!A1" TargetMode="External" Id="rId12"/><Relationship Type="http://schemas.openxmlformats.org/officeDocument/2006/relationships/hyperlink" Target="#'Drilldown_Q3FY26_Q4FY26'!A1" TargetMode="External" Id="rId13"/><Relationship Type="http://schemas.openxmlformats.org/officeDocument/2006/relationships/hyperlink" Target="#'Drilldown_Q3FY26_Q4FY26'!A1" TargetMode="External" Id="rId14"/><Relationship Type="http://schemas.openxmlformats.org/officeDocument/2006/relationships/hyperlink" Target="#'Drilldown_Q3FY26_Q4FY26'!A1" TargetMode="External" Id="rId15"/><Relationship Type="http://schemas.openxmlformats.org/officeDocument/2006/relationships/hyperlink" Target="#'Drilldown_Q3FY26_Q4FY26'!A1" TargetMode="External" Id="rId16"/><Relationship Type="http://schemas.openxmlformats.org/officeDocument/2006/relationships/hyperlink" Target="#'Drilldown_Q3FY26_Q4FY26'!A1" TargetMode="External" Id="rId17"/><Relationship Type="http://schemas.openxmlformats.org/officeDocument/2006/relationships/hyperlink" Target="#'Drilldown_Q3FY26_Q4FY26'!A1" TargetMode="External" Id="rId18"/><Relationship Type="http://schemas.openxmlformats.org/officeDocument/2006/relationships/hyperlink" Target="#'Drilldown_Q3FY26_Q4FY26'!A1" TargetMode="External" Id="rId19"/><Relationship Type="http://schemas.openxmlformats.org/officeDocument/2006/relationships/hyperlink" Target="#'Drilldown_Q3FY26_Q4FY26'!A1" TargetMode="External" Id="rId20"/><Relationship Type="http://schemas.openxmlformats.org/officeDocument/2006/relationships/hyperlink" Target="#'Drilldown_Q3FY26_Q4FY26'!A1" TargetMode="External" Id="rId21"/><Relationship Type="http://schemas.openxmlformats.org/officeDocument/2006/relationships/hyperlink" Target="#'Drilldown_Q3FY26_Q4FY26'!A1" TargetMode="External" Id="rId22"/><Relationship Type="http://schemas.openxmlformats.org/officeDocument/2006/relationships/hyperlink" Target="#'Drilldown_Q3FY26_Q4FY26'!A1" TargetMode="External" Id="rId23"/><Relationship Type="http://schemas.openxmlformats.org/officeDocument/2006/relationships/hyperlink" Target="#'Drilldown_Q3FY26_Q4FY26'!A1" TargetMode="External" Id="rId24"/><Relationship Type="http://schemas.openxmlformats.org/officeDocument/2006/relationships/hyperlink" Target="#'Drilldown_Q3FY26_Q4FY26'!A1" TargetMode="External" Id="rId25"/><Relationship Type="http://schemas.openxmlformats.org/officeDocument/2006/relationships/hyperlink" Target="#'Drilldown_Q3FY26_Q4FY26'!A1" TargetMode="External" Id="rId26"/><Relationship Type="http://schemas.openxmlformats.org/officeDocument/2006/relationships/hyperlink" Target="#'Drilldown_Q3FY26_Q4FY26'!A1" TargetMode="External" Id="rId27"/><Relationship Type="http://schemas.openxmlformats.org/officeDocument/2006/relationships/hyperlink" Target="#'Drilldown_Q3FY26_Q4FY26'!A1" TargetMode="External" Id="rId28"/><Relationship Type="http://schemas.openxmlformats.org/officeDocument/2006/relationships/hyperlink" Target="#'Drilldown_Q3FY26_Q4FY26'!A1" TargetMode="External" Id="rId29"/><Relationship Type="http://schemas.openxmlformats.org/officeDocument/2006/relationships/hyperlink" Target="#'Drilldown_Q3FY26_Q4FY26'!A1" TargetMode="External" Id="rId30"/><Relationship Type="http://schemas.openxmlformats.org/officeDocument/2006/relationships/hyperlink" Target="#'Drilldown_Q3FY26_Q4FY26'!A1" TargetMode="External" Id="rId31"/><Relationship Type="http://schemas.openxmlformats.org/officeDocument/2006/relationships/hyperlink" Target="#'Drilldown_Q3FY26_Q4FY26'!A1" TargetMode="External" Id="rId32"/><Relationship Type="http://schemas.openxmlformats.org/officeDocument/2006/relationships/hyperlink" Target="#'Drilldown_Q3FY26_Q4FY26'!A1" TargetMode="External" Id="rId33"/><Relationship Type="http://schemas.openxmlformats.org/officeDocument/2006/relationships/hyperlink" Target="#'Drilldown_Q3FY26_Q4FY26'!A1" TargetMode="External" Id="rId34"/><Relationship Type="http://schemas.openxmlformats.org/officeDocument/2006/relationships/hyperlink" Target="#'Drilldown_Q3FY26_Q4FY26'!A1" TargetMode="External" Id="rId35"/><Relationship Type="http://schemas.openxmlformats.org/officeDocument/2006/relationships/hyperlink" Target="#'Drilldown_Q3FY26_Q4FY26'!A1" TargetMode="External" Id="rId36"/><Relationship Type="http://schemas.openxmlformats.org/officeDocument/2006/relationships/hyperlink" Target="#'Drilldown_Q3FY26_Q4FY26'!A1" TargetMode="External" Id="rId37"/><Relationship Type="http://schemas.openxmlformats.org/officeDocument/2006/relationships/hyperlink" Target="#'Drilldown_Q3FY26_Q4FY26'!A1" TargetMode="External" Id="rId38"/><Relationship Type="http://schemas.openxmlformats.org/officeDocument/2006/relationships/hyperlink" Target="#'Drilldown_Q3FY26_Q4FY26'!A1" TargetMode="External" Id="rId39"/><Relationship Type="http://schemas.openxmlformats.org/officeDocument/2006/relationships/hyperlink" Target="#'Drilldown_Q3FY26_Q4FY26'!A1" TargetMode="External" Id="rId40"/><Relationship Type="http://schemas.openxmlformats.org/officeDocument/2006/relationships/hyperlink" Target="#'Drilldown_Q3FY26_Q4FY26'!A1" TargetMode="External" Id="rId41"/><Relationship Type="http://schemas.openxmlformats.org/officeDocument/2006/relationships/hyperlink" Target="#'Drilldown_Q3FY26_Q4FY26'!A1" TargetMode="External" Id="rId42"/><Relationship Type="http://schemas.openxmlformats.org/officeDocument/2006/relationships/hyperlink" Target="#'Drilldown_Q3FY26_Q4FY26'!A1" TargetMode="External" Id="rId43"/><Relationship Type="http://schemas.openxmlformats.org/officeDocument/2006/relationships/hyperlink" Target="#'Drilldown_Q3FY26_Q4FY26'!A1" TargetMode="External" Id="rId44"/><Relationship Type="http://schemas.openxmlformats.org/officeDocument/2006/relationships/hyperlink" Target="#'Drilldown_Q3FY26_Q4FY26'!A1" TargetMode="External" Id="rId45"/><Relationship Type="http://schemas.openxmlformats.org/officeDocument/2006/relationships/hyperlink" Target="#'Drilldown_Q3FY26_Q4FY26'!A1" TargetMode="External" Id="rId46"/><Relationship Type="http://schemas.openxmlformats.org/officeDocument/2006/relationships/hyperlink" Target="#'Drilldown_Q3FY26_Q4FY26'!A1" TargetMode="External" Id="rId47"/><Relationship Type="http://schemas.openxmlformats.org/officeDocument/2006/relationships/hyperlink" Target="#'Drilldown_Q3FY26_Q4FY26'!A1" TargetMode="External" Id="rId48"/><Relationship Type="http://schemas.openxmlformats.org/officeDocument/2006/relationships/hyperlink" Target="#'Drilldown_Q3FY26_Q4FY26'!A1" TargetMode="External" Id="rId49"/><Relationship Type="http://schemas.openxmlformats.org/officeDocument/2006/relationships/hyperlink" Target="#'Drilldown_Q3FY26_Q4FY26'!A1" TargetMode="External" Id="rId50"/><Relationship Type="http://schemas.openxmlformats.org/officeDocument/2006/relationships/hyperlink" Target="#'Drilldown_Q3FY26_Q4FY26'!A1" TargetMode="External" Id="rId51"/></Relationships>
</file>

<file path=xl/worksheets/_rels/sheet3.xml.rels><Relationships xmlns="http://schemas.openxmlformats.org/package/2006/relationships"><Relationship Type="http://schemas.openxmlformats.org/officeDocument/2006/relationships/hyperlink" Target="#'Migration_Q3FY26_Q4FY26'!A1" TargetMode="Externa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D5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s>
  <sheetData>
    <row r="1">
      <c r="A1" s="1" t="inlineStr">
        <is>
          <t>ECL Provisioning Summary &amp; Commentary</t>
        </is>
      </c>
    </row>
    <row r="2">
      <c r="A2" s="2" t="inlineStr">
        <is>
          <t>Generated: 03-Sep-2026 07:52</t>
        </is>
      </c>
    </row>
    <row r="4">
      <c r="A4" s="3" t="inlineStr">
        <is>
          <t>Metric</t>
        </is>
      </c>
      <c r="B4" s="4" t="inlineStr">
        <is>
          <t>Q3FY26</t>
        </is>
      </c>
      <c r="C4" s="4" t="inlineStr">
        <is>
          <t>Q4FY26</t>
        </is>
      </c>
      <c r="D4" s="4" t="inlineStr">
        <is>
          <t>Change</t>
        </is>
      </c>
    </row>
    <row r="5">
      <c r="A5" s="5" t="inlineStr">
        <is>
          <t>PORTFOLIO</t>
        </is>
      </c>
      <c r="B5" s="6" t="n"/>
      <c r="C5" s="6" t="n"/>
      <c r="D5" s="6" t="n"/>
    </row>
    <row r="6">
      <c r="A6" s="7" t="inlineStr">
        <is>
          <t>Number of loans</t>
        </is>
      </c>
      <c r="B6" s="8" t="n">
        <v>37</v>
      </c>
      <c r="C6" s="8" t="n">
        <v>37</v>
      </c>
      <c r="D6" s="9">
        <f>C6-B6</f>
        <v/>
      </c>
    </row>
    <row r="7">
      <c r="A7" s="7" t="inlineStr">
        <is>
          <t>Outstanding (Rs. Cr)</t>
        </is>
      </c>
      <c r="B7" s="10" t="n">
        <v>120.28</v>
      </c>
      <c r="C7" s="10" t="n">
        <v>117.36</v>
      </c>
      <c r="D7" s="11">
        <f>C7-B7</f>
        <v/>
      </c>
    </row>
    <row r="8">
      <c r="A8" s="7" t="inlineStr">
        <is>
          <t>ECL provision held (Rs. Cr)</t>
        </is>
      </c>
      <c r="B8" s="12" t="n">
        <v>15.192</v>
      </c>
      <c r="C8" s="12" t="n">
        <v>14.83</v>
      </c>
      <c r="D8" s="13">
        <f>C8-B8</f>
        <v/>
      </c>
    </row>
    <row r="9">
      <c r="A9" s="7" t="inlineStr">
        <is>
          <t>Provision coverage (%)</t>
        </is>
      </c>
      <c r="B9" s="14" t="n">
        <v>12.63</v>
      </c>
      <c r="C9" s="14" t="n">
        <v>12.64</v>
      </c>
      <c r="D9" s="15">
        <f>C9-B9</f>
        <v/>
      </c>
    </row>
    <row r="10">
      <c r="A10" s="5" t="inlineStr">
        <is>
          <t>STAGE 1</t>
        </is>
      </c>
      <c r="B10" s="6" t="n"/>
      <c r="C10" s="6" t="n"/>
      <c r="D10" s="6" t="n"/>
    </row>
    <row r="11">
      <c r="A11" s="7" t="inlineStr">
        <is>
          <t xml:space="preserve">  Loans</t>
        </is>
      </c>
      <c r="B11" s="8" t="n">
        <v>24</v>
      </c>
      <c r="C11" s="8" t="n">
        <v>25</v>
      </c>
      <c r="D11" s="9">
        <f>C11-B11</f>
        <v/>
      </c>
    </row>
    <row r="12">
      <c r="A12" s="7" t="inlineStr">
        <is>
          <t xml:space="preserve">  Outstanding (Rs. Cr)</t>
        </is>
      </c>
      <c r="B12" s="10" t="n">
        <v>83.67</v>
      </c>
      <c r="C12" s="10" t="n">
        <v>84.29000000000001</v>
      </c>
      <c r="D12" s="11">
        <f>C12-B12</f>
        <v/>
      </c>
    </row>
    <row r="13">
      <c r="A13" s="7" t="inlineStr">
        <is>
          <t xml:space="preserve">  Provision (Rs. Cr)</t>
        </is>
      </c>
      <c r="B13" s="12" t="n">
        <v>0.76</v>
      </c>
      <c r="C13" s="12" t="n">
        <v>0.757</v>
      </c>
      <c r="D13" s="13">
        <f>C13-B13</f>
        <v/>
      </c>
    </row>
    <row r="14">
      <c r="A14" s="7" t="inlineStr">
        <is>
          <t xml:space="preserve">  Share of book (%)</t>
        </is>
      </c>
      <c r="B14" s="14" t="n">
        <v>69.56</v>
      </c>
      <c r="C14" s="14" t="n">
        <v>71.81999999999999</v>
      </c>
      <c r="D14" s="15">
        <f>C14-B14</f>
        <v/>
      </c>
    </row>
    <row r="15">
      <c r="A15" s="5" t="inlineStr">
        <is>
          <t>STAGE 2</t>
        </is>
      </c>
      <c r="B15" s="6" t="n"/>
      <c r="C15" s="6" t="n"/>
      <c r="D15" s="6" t="n"/>
    </row>
    <row r="16">
      <c r="A16" s="7" t="inlineStr">
        <is>
          <t xml:space="preserve">  Loans</t>
        </is>
      </c>
      <c r="B16" s="8" t="n">
        <v>6</v>
      </c>
      <c r="C16" s="8" t="n">
        <v>3</v>
      </c>
      <c r="D16" s="9">
        <f>C16-B16</f>
        <v/>
      </c>
    </row>
    <row r="17">
      <c r="A17" s="7" t="inlineStr">
        <is>
          <t xml:space="preserve">  Outstanding (Rs. Cr)</t>
        </is>
      </c>
      <c r="B17" s="10" t="n">
        <v>17.72</v>
      </c>
      <c r="C17" s="10" t="n">
        <v>9.710000000000001</v>
      </c>
      <c r="D17" s="11">
        <f>C17-B17</f>
        <v/>
      </c>
    </row>
    <row r="18">
      <c r="A18" s="7" t="inlineStr">
        <is>
          <t xml:space="preserve">  Provision (Rs. Cr)</t>
        </is>
      </c>
      <c r="B18" s="12" t="n">
        <v>2.856</v>
      </c>
      <c r="C18" s="12" t="n">
        <v>1.345</v>
      </c>
      <c r="D18" s="13">
        <f>C18-B18</f>
        <v/>
      </c>
    </row>
    <row r="19">
      <c r="A19" s="7" t="inlineStr">
        <is>
          <t xml:space="preserve">  Share of book (%)</t>
        </is>
      </c>
      <c r="B19" s="14" t="n">
        <v>14.73</v>
      </c>
      <c r="C19" s="14" t="n">
        <v>8.27</v>
      </c>
      <c r="D19" s="15">
        <f>C19-B19</f>
        <v/>
      </c>
    </row>
    <row r="20">
      <c r="A20" s="5" t="inlineStr">
        <is>
          <t>STAGE 3</t>
        </is>
      </c>
      <c r="B20" s="6" t="n"/>
      <c r="C20" s="6" t="n"/>
      <c r="D20" s="6" t="n"/>
    </row>
    <row r="21">
      <c r="A21" s="7" t="inlineStr">
        <is>
          <t xml:space="preserve">  Loans</t>
        </is>
      </c>
      <c r="B21" s="8" t="n">
        <v>7</v>
      </c>
      <c r="C21" s="8" t="n">
        <v>9</v>
      </c>
      <c r="D21" s="9">
        <f>C21-B21</f>
        <v/>
      </c>
    </row>
    <row r="22">
      <c r="A22" s="7" t="inlineStr">
        <is>
          <t xml:space="preserve">  Outstanding (Rs. Cr)</t>
        </is>
      </c>
      <c r="B22" s="10" t="n">
        <v>18.89</v>
      </c>
      <c r="C22" s="10" t="n">
        <v>23.36</v>
      </c>
      <c r="D22" s="11">
        <f>C22-B22</f>
        <v/>
      </c>
    </row>
    <row r="23">
      <c r="A23" s="7" t="inlineStr">
        <is>
          <t xml:space="preserve">  Provision (Rs. Cr)</t>
        </is>
      </c>
      <c r="B23" s="12" t="n">
        <v>11.576</v>
      </c>
      <c r="C23" s="12" t="n">
        <v>12.728</v>
      </c>
      <c r="D23" s="13">
        <f>C23-B23</f>
        <v/>
      </c>
    </row>
    <row r="24">
      <c r="A24" s="7" t="inlineStr">
        <is>
          <t xml:space="preserve">  Share of book (%)</t>
        </is>
      </c>
      <c r="B24" s="14" t="n">
        <v>15.71</v>
      </c>
      <c r="C24" s="14" t="n">
        <v>19.9</v>
      </c>
      <c r="D24" s="15">
        <f>C24-B24</f>
        <v/>
      </c>
    </row>
    <row r="27">
      <c r="A27" s="16" t="inlineStr">
        <is>
          <t>COMMENTARY</t>
        </is>
      </c>
    </row>
    <row r="28">
      <c r="A28" s="17" t="inlineStr">
        <is>
          <t>ECL PROVISIONING COMMENTARY — Q4FY26</t>
        </is>
      </c>
    </row>
    <row r="29">
      <c r="A29" t="inlineStr">
        <is>
          <t>Comparison basis: Q3FY26 -&gt; Q4FY26</t>
        </is>
      </c>
    </row>
    <row r="30">
      <c r="A30" t="inlineStr"/>
    </row>
    <row r="31">
      <c r="A31" s="17" t="inlineStr">
        <is>
          <t>PORTFOLIO POSITION</t>
        </is>
      </c>
    </row>
    <row r="32">
      <c r="A32" t="inlineStr">
        <is>
          <t>The book stood at Rs. 117.36 Cr across 37 loans as at Q4FY26. ECL provision held was Rs. 14.830 Cr, giving a coverage of 12.64% of the book.</t>
        </is>
      </c>
    </row>
    <row r="33">
      <c r="A33" t="inlineStr">
        <is>
          <t>Against Q3FY26, the book has reduced by Rs. 2.92 Cr and provision has fallen by Rs. 0.362 Cr. Coverage improved by 0.01 percentage points.</t>
        </is>
      </c>
    </row>
    <row r="34">
      <c r="A34" t="inlineStr"/>
    </row>
    <row r="35">
      <c r="A35" s="17" t="inlineStr">
        <is>
          <t>ASSET QUALITY BY STAGE</t>
        </is>
      </c>
    </row>
    <row r="36">
      <c r="A36" t="inlineStr">
        <is>
          <t>Stage 1: 25 loans, Rs. 84.29 Cr (71.82% of the book) — up 2.26 pp.</t>
        </is>
      </c>
    </row>
    <row r="37">
      <c r="A37" t="inlineStr">
        <is>
          <t>Stage 2: 3 loans, Rs. 9.71 Cr (8.27% of the book) — down 6.46 pp.</t>
        </is>
      </c>
    </row>
    <row r="38">
      <c r="A38" t="inlineStr">
        <is>
          <t>Stage 3: 9 loans, Rs. 23.36 Cr (19.90% of the book) — up 4.19 pp.</t>
        </is>
      </c>
    </row>
    <row r="39">
      <c r="A39" t="inlineStr"/>
    </row>
    <row r="40">
      <c r="A40" s="17" t="inlineStr">
        <is>
          <t>WHAT MOVED</t>
        </is>
      </c>
    </row>
    <row r="41">
      <c r="A41" t="inlineStr">
        <is>
          <t>Deterioration — Rs. 7.80 Cr in total:</t>
        </is>
      </c>
    </row>
    <row r="42">
      <c r="A42" t="inlineStr">
        <is>
          <t xml:space="preserve">  - 1 loan worth Rs. 2.85 Cr slipped from Stage 1 to Stage 2</t>
        </is>
      </c>
    </row>
    <row r="43">
      <c r="A43" t="inlineStr">
        <is>
          <t xml:space="preserve">  - 2 loans worth Rs. 4.95 Cr slipped from Stage 2 to Stage 3</t>
        </is>
      </c>
    </row>
    <row r="44">
      <c r="A44" t="inlineStr">
        <is>
          <t>Improvement — Rs. 5.53 Cr in total:</t>
        </is>
      </c>
    </row>
    <row r="45">
      <c r="A45" t="inlineStr">
        <is>
          <t xml:space="preserve">  - 2 loans worth Rs. 5.53 Cr recovered from Stage 2 to Stage 1</t>
        </is>
      </c>
    </row>
    <row r="46">
      <c r="A46" t="inlineStr">
        <is>
          <t>On balance, deterioration outweighed improvement by Rs. 2.27 Cr.</t>
        </is>
      </c>
    </row>
    <row r="47">
      <c r="A47" t="inlineStr"/>
    </row>
    <row r="48">
      <c r="A48" s="17" t="inlineStr">
        <is>
          <t>BY PRODUCT</t>
        </is>
      </c>
    </row>
    <row r="49">
      <c r="A49" t="inlineStr">
        <is>
          <t>LAP is the largest product line at Q4FY26, with Rs. 37.31 Cr outstanding.</t>
        </is>
      </c>
    </row>
    <row r="50">
      <c r="A50" t="inlineStr">
        <is>
          <t>LAP showed the sharpest rise in Stage 3 share, up 7.82 pp to 21.23% — this product line is worth a closer look.</t>
        </is>
      </c>
    </row>
    <row r="51">
      <c r="A51" t="inlineStr">
        <is>
          <t>Full product-wise figures are on the Product summary sheet; branch-wise figures are on the Branch sheet, which can be filtered to any branch.</t>
        </is>
      </c>
    </row>
    <row r="52">
      <c r="A52" t="inlineStr"/>
    </row>
    <row r="53">
      <c r="A53" s="17" t="inlineStr">
        <is>
          <t>POINTS FOR ATTENTION</t>
        </is>
      </c>
    </row>
    <row r="54">
      <c r="A54" t="inlineStr">
        <is>
          <t xml:space="preserve">  - Stage 3 share rose 4.19 pp — review recovery and provisioning adequacy.</t>
        </is>
      </c>
    </row>
    <row r="55">
      <c r="A55" t="inlineStr"/>
    </row>
    <row r="56">
      <c r="A56" t="inlineStr">
        <is>
          <t>Basis: figures are taken as computed under Ind AS 109 and RBI norms in the source data. This draft has not independently verified them and requires Controller review before Board or Audit Committee submission.</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H65"/>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Migration Analysis: Q3FY26 → Q4FY26</t>
        </is>
      </c>
    </row>
    <row r="2">
      <c r="A2" s="2" t="inlineStr">
        <is>
          <t>Each table below is headed with the actual periods being compared. Click any number to open the loan-level drill-down.</t>
        </is>
      </c>
    </row>
    <row r="4">
      <c r="A4" s="16" t="inlineStr">
        <is>
          <t>A. IND AS 109 STAGE MIGRATION</t>
        </is>
      </c>
    </row>
    <row r="5">
      <c r="A5" s="18" t="inlineStr">
        <is>
          <t>1. ECL PROVISION HELD (Rs. Cr, as at later period)</t>
        </is>
      </c>
    </row>
    <row r="6">
      <c r="A6" s="19" t="inlineStr">
        <is>
          <t>AS AT Q3FY26 ▾</t>
        </is>
      </c>
      <c r="B6" s="20" t="inlineStr">
        <is>
          <t>AS AT Q4FY26</t>
        </is>
      </c>
    </row>
    <row r="7">
      <c r="A7" s="3" t="inlineStr">
        <is>
          <t>Stage/Bucket</t>
        </is>
      </c>
      <c r="B7" s="4" t="inlineStr">
        <is>
          <t>Stage 1</t>
        </is>
      </c>
      <c r="C7" s="4" t="inlineStr">
        <is>
          <t>Stage 2</t>
        </is>
      </c>
      <c r="D7" s="4" t="inlineStr">
        <is>
          <t>Stage 3</t>
        </is>
      </c>
      <c r="E7" s="3" t="inlineStr">
        <is>
          <t>Total</t>
        </is>
      </c>
    </row>
    <row r="8">
      <c r="A8" s="3" t="inlineStr">
        <is>
          <t>Stage 1</t>
        </is>
      </c>
      <c r="B8" s="21" t="n">
        <v>0.729</v>
      </c>
      <c r="C8" s="22" t="n">
        <v>0.464</v>
      </c>
      <c r="D8" s="23" t="n">
        <v>0</v>
      </c>
      <c r="E8" s="24">
        <f>SUM(B8:D8)</f>
        <v/>
      </c>
    </row>
    <row r="9">
      <c r="A9" s="3" t="inlineStr">
        <is>
          <t>Stage 2</t>
        </is>
      </c>
      <c r="B9" s="25" t="n">
        <v>0.028</v>
      </c>
      <c r="C9" s="21" t="n">
        <v>0.881</v>
      </c>
      <c r="D9" s="22" t="n">
        <v>3.016</v>
      </c>
      <c r="E9" s="24">
        <f>SUM(B9:D9)</f>
        <v/>
      </c>
    </row>
    <row r="10">
      <c r="A10" s="3" t="inlineStr">
        <is>
          <t>Stage 3</t>
        </is>
      </c>
      <c r="B10" s="26" t="n">
        <v>0</v>
      </c>
      <c r="C10" s="26" t="n">
        <v>0</v>
      </c>
      <c r="D10" s="21" t="n">
        <v>9.712</v>
      </c>
      <c r="E10" s="24">
        <f>SUM(B10:D10)</f>
        <v/>
      </c>
    </row>
    <row r="11">
      <c r="A11" s="3" t="inlineStr">
        <is>
          <t>Total</t>
        </is>
      </c>
      <c r="B11" s="27">
        <f>SUM(B8:B10)</f>
        <v/>
      </c>
      <c r="C11" s="27">
        <f>SUM(C8:C10)</f>
        <v/>
      </c>
      <c r="D11" s="27">
        <f>SUM(D8:D10)</f>
        <v/>
      </c>
      <c r="E11" s="27">
        <f>SUM(E8:E10)</f>
        <v/>
      </c>
    </row>
    <row r="13">
      <c r="A13" s="18" t="inlineStr">
        <is>
          <t>2. OUTSTANDING (Rs. Cr, as at later period)</t>
        </is>
      </c>
    </row>
    <row r="14">
      <c r="A14" s="19" t="inlineStr">
        <is>
          <t>AS AT Q3FY26 ▾</t>
        </is>
      </c>
      <c r="B14" s="20" t="inlineStr">
        <is>
          <t>AS AT Q4FY26</t>
        </is>
      </c>
    </row>
    <row r="15">
      <c r="A15" s="3" t="inlineStr">
        <is>
          <t>Stage/Bucket</t>
        </is>
      </c>
      <c r="B15" s="4" t="inlineStr">
        <is>
          <t>Stage 1</t>
        </is>
      </c>
      <c r="C15" s="4" t="inlineStr">
        <is>
          <t>Stage 2</t>
        </is>
      </c>
      <c r="D15" s="4" t="inlineStr">
        <is>
          <t>Stage 3</t>
        </is>
      </c>
      <c r="E15" s="3" t="inlineStr">
        <is>
          <t>Total</t>
        </is>
      </c>
    </row>
    <row r="16">
      <c r="A16" s="3" t="inlineStr">
        <is>
          <t>Stage 1</t>
        </is>
      </c>
      <c r="B16" s="28" t="n">
        <v>78.76000000000001</v>
      </c>
      <c r="C16" s="29" t="n">
        <v>2.85</v>
      </c>
      <c r="D16" s="30" t="n">
        <v>0</v>
      </c>
      <c r="E16" s="31">
        <f>SUM(B16:D16)</f>
        <v/>
      </c>
    </row>
    <row r="17">
      <c r="A17" s="3" t="inlineStr">
        <is>
          <t>Stage 2</t>
        </is>
      </c>
      <c r="B17" s="32" t="n">
        <v>5.53</v>
      </c>
      <c r="C17" s="28" t="n">
        <v>6.86</v>
      </c>
      <c r="D17" s="29" t="n">
        <v>4.95</v>
      </c>
      <c r="E17" s="31">
        <f>SUM(B17:D17)</f>
        <v/>
      </c>
    </row>
    <row r="18">
      <c r="A18" s="3" t="inlineStr">
        <is>
          <t>Stage 3</t>
        </is>
      </c>
      <c r="B18" s="33" t="n">
        <v>0</v>
      </c>
      <c r="C18" s="33" t="n">
        <v>0</v>
      </c>
      <c r="D18" s="28" t="n">
        <v>18.41</v>
      </c>
      <c r="E18" s="31">
        <f>SUM(B18:D18)</f>
        <v/>
      </c>
    </row>
    <row r="19">
      <c r="A19" s="3" t="inlineStr">
        <is>
          <t>Total</t>
        </is>
      </c>
      <c r="B19" s="34">
        <f>SUM(B16:B18)</f>
        <v/>
      </c>
      <c r="C19" s="34">
        <f>SUM(C16:C18)</f>
        <v/>
      </c>
      <c r="D19" s="34">
        <f>SUM(D16:D18)</f>
        <v/>
      </c>
      <c r="E19" s="34">
        <f>SUM(E16:E18)</f>
        <v/>
      </c>
    </row>
    <row r="21">
      <c r="A21" s="18" t="inlineStr">
        <is>
          <t>3. LOAN COUNT</t>
        </is>
      </c>
    </row>
    <row r="22">
      <c r="A22" s="19" t="inlineStr">
        <is>
          <t>AS AT Q3FY26 ▾</t>
        </is>
      </c>
      <c r="B22" s="20" t="inlineStr">
        <is>
          <t>AS AT Q4FY26</t>
        </is>
      </c>
    </row>
    <row r="23">
      <c r="A23" s="3" t="inlineStr">
        <is>
          <t>Stage/Bucket</t>
        </is>
      </c>
      <c r="B23" s="4" t="inlineStr">
        <is>
          <t>Stage 1</t>
        </is>
      </c>
      <c r="C23" s="4" t="inlineStr">
        <is>
          <t>Stage 2</t>
        </is>
      </c>
      <c r="D23" s="4" t="inlineStr">
        <is>
          <t>Stage 3</t>
        </is>
      </c>
      <c r="E23" s="3" t="inlineStr">
        <is>
          <t>Total</t>
        </is>
      </c>
    </row>
    <row r="24">
      <c r="A24" s="3" t="inlineStr">
        <is>
          <t>Stage 1</t>
        </is>
      </c>
      <c r="B24" s="35" t="n">
        <v>23</v>
      </c>
      <c r="C24" s="36" t="n">
        <v>1</v>
      </c>
      <c r="D24" s="37" t="n">
        <v>0</v>
      </c>
      <c r="E24" s="38">
        <f>SUM(B24:D24)</f>
        <v/>
      </c>
    </row>
    <row r="25">
      <c r="A25" s="3" t="inlineStr">
        <is>
          <t>Stage 2</t>
        </is>
      </c>
      <c r="B25" s="39" t="n">
        <v>2</v>
      </c>
      <c r="C25" s="35" t="n">
        <v>2</v>
      </c>
      <c r="D25" s="36" t="n">
        <v>2</v>
      </c>
      <c r="E25" s="38">
        <f>SUM(B25:D25)</f>
        <v/>
      </c>
    </row>
    <row r="26">
      <c r="A26" s="3" t="inlineStr">
        <is>
          <t>Stage 3</t>
        </is>
      </c>
      <c r="B26" s="40" t="n">
        <v>0</v>
      </c>
      <c r="C26" s="40" t="n">
        <v>0</v>
      </c>
      <c r="D26" s="35" t="n">
        <v>7</v>
      </c>
      <c r="E26" s="38">
        <f>SUM(B26:D26)</f>
        <v/>
      </c>
    </row>
    <row r="27">
      <c r="A27" s="3" t="inlineStr">
        <is>
          <t>Total</t>
        </is>
      </c>
      <c r="B27" s="41">
        <f>SUM(B24:B26)</f>
        <v/>
      </c>
      <c r="C27" s="41">
        <f>SUM(C24:C26)</f>
        <v/>
      </c>
      <c r="D27" s="41">
        <f>SUM(D24:D26)</f>
        <v/>
      </c>
      <c r="E27" s="41">
        <f>SUM(E24:E26)</f>
        <v/>
      </c>
    </row>
    <row r="29">
      <c r="A29" s="16" t="inlineStr">
        <is>
          <t>B. DPD AGEING BUCKET MIGRATION</t>
        </is>
      </c>
    </row>
    <row r="30">
      <c r="A30" s="18" t="inlineStr">
        <is>
          <t>1. ECL PROVISION HELD (Rs. Cr, as at later period)</t>
        </is>
      </c>
    </row>
    <row r="31">
      <c r="A31" s="19" t="inlineStr">
        <is>
          <t>AS AT Q3FY26 ▾</t>
        </is>
      </c>
      <c r="B31" s="20" t="inlineStr">
        <is>
          <t>AS AT Q4FY26</t>
        </is>
      </c>
    </row>
    <row r="32">
      <c r="A32" s="3" t="inlineStr">
        <is>
          <t>Stage/Bucket</t>
        </is>
      </c>
      <c r="B32" s="4" t="inlineStr">
        <is>
          <t>0 (Current)</t>
        </is>
      </c>
      <c r="C32" s="4" t="inlineStr">
        <is>
          <t>1-30</t>
        </is>
      </c>
      <c r="D32" s="4" t="inlineStr">
        <is>
          <t>31-60</t>
        </is>
      </c>
      <c r="E32" s="4" t="inlineStr">
        <is>
          <t>61-90</t>
        </is>
      </c>
      <c r="F32" s="4" t="inlineStr">
        <is>
          <t>91-120</t>
        </is>
      </c>
      <c r="G32" s="4" t="inlineStr">
        <is>
          <t>120+</t>
        </is>
      </c>
      <c r="H32" s="3" t="inlineStr">
        <is>
          <t>Total</t>
        </is>
      </c>
    </row>
    <row r="33">
      <c r="A33" s="3" t="inlineStr">
        <is>
          <t>0 (Current)</t>
        </is>
      </c>
      <c r="B33" s="21" t="n">
        <v>0.607</v>
      </c>
      <c r="C33" s="22" t="n">
        <v>0.101</v>
      </c>
      <c r="D33" s="23" t="n">
        <v>0</v>
      </c>
      <c r="E33" s="23" t="n">
        <v>0</v>
      </c>
      <c r="F33" s="23" t="n">
        <v>0</v>
      </c>
      <c r="G33" s="23" t="n">
        <v>0</v>
      </c>
      <c r="H33" s="24">
        <f>SUM(B33:G33)</f>
        <v/>
      </c>
    </row>
    <row r="34">
      <c r="A34" s="3" t="inlineStr">
        <is>
          <t>1-30</t>
        </is>
      </c>
      <c r="B34" s="25" t="n">
        <v>0.021</v>
      </c>
      <c r="C34" s="42" t="n">
        <v>0</v>
      </c>
      <c r="D34" s="23" t="n">
        <v>0</v>
      </c>
      <c r="E34" s="22" t="n">
        <v>0.464</v>
      </c>
      <c r="F34" s="23" t="n">
        <v>0</v>
      </c>
      <c r="G34" s="23" t="n">
        <v>0</v>
      </c>
      <c r="H34" s="24">
        <f>SUM(B34:G34)</f>
        <v/>
      </c>
    </row>
    <row r="35">
      <c r="A35" s="3" t="inlineStr">
        <is>
          <t>31-60</t>
        </is>
      </c>
      <c r="B35" s="25" t="n">
        <v>0.003</v>
      </c>
      <c r="C35" s="25" t="n">
        <v>0.025</v>
      </c>
      <c r="D35" s="21" t="n">
        <v>0.542</v>
      </c>
      <c r="E35" s="23" t="n">
        <v>0</v>
      </c>
      <c r="F35" s="22" t="n">
        <v>1.866</v>
      </c>
      <c r="G35" s="23" t="n">
        <v>0</v>
      </c>
      <c r="H35" s="24">
        <f>SUM(B35:G35)</f>
        <v/>
      </c>
    </row>
    <row r="36">
      <c r="A36" s="3" t="inlineStr">
        <is>
          <t>61-90</t>
        </is>
      </c>
      <c r="B36" s="26" t="n">
        <v>0</v>
      </c>
      <c r="C36" s="26" t="n">
        <v>0</v>
      </c>
      <c r="D36" s="26" t="n">
        <v>0</v>
      </c>
      <c r="E36" s="21" t="n">
        <v>0.339</v>
      </c>
      <c r="F36" s="23" t="n">
        <v>0</v>
      </c>
      <c r="G36" s="22" t="n">
        <v>1.15</v>
      </c>
      <c r="H36" s="24">
        <f>SUM(B36:G36)</f>
        <v/>
      </c>
    </row>
    <row r="37">
      <c r="A37" s="3" t="inlineStr">
        <is>
          <t>91-120</t>
        </is>
      </c>
      <c r="B37" s="26" t="n">
        <v>0</v>
      </c>
      <c r="C37" s="26" t="n">
        <v>0</v>
      </c>
      <c r="D37" s="26" t="n">
        <v>0</v>
      </c>
      <c r="E37" s="26" t="n">
        <v>0</v>
      </c>
      <c r="F37" s="42" t="n">
        <v>0</v>
      </c>
      <c r="G37" s="23" t="n">
        <v>0</v>
      </c>
      <c r="H37" s="24">
        <f>SUM(B37:G37)</f>
        <v/>
      </c>
    </row>
    <row r="38">
      <c r="A38" s="3" t="inlineStr">
        <is>
          <t>120+</t>
        </is>
      </c>
      <c r="B38" s="26" t="n">
        <v>0</v>
      </c>
      <c r="C38" s="26" t="n">
        <v>0</v>
      </c>
      <c r="D38" s="26" t="n">
        <v>0</v>
      </c>
      <c r="E38" s="26" t="n">
        <v>0</v>
      </c>
      <c r="F38" s="26" t="n">
        <v>0</v>
      </c>
      <c r="G38" s="21" t="n">
        <v>9.712</v>
      </c>
      <c r="H38" s="24">
        <f>SUM(B38:G38)</f>
        <v/>
      </c>
    </row>
    <row r="39">
      <c r="A39" s="3" t="inlineStr">
        <is>
          <t>Total</t>
        </is>
      </c>
      <c r="B39" s="27">
        <f>SUM(B33:B38)</f>
        <v/>
      </c>
      <c r="C39" s="27">
        <f>SUM(C33:C38)</f>
        <v/>
      </c>
      <c r="D39" s="27">
        <f>SUM(D33:D38)</f>
        <v/>
      </c>
      <c r="E39" s="27">
        <f>SUM(E33:E38)</f>
        <v/>
      </c>
      <c r="F39" s="27">
        <f>SUM(F33:F38)</f>
        <v/>
      </c>
      <c r="G39" s="27">
        <f>SUM(G33:G38)</f>
        <v/>
      </c>
      <c r="H39" s="27">
        <f>SUM(H33:H38)</f>
        <v/>
      </c>
    </row>
    <row r="41">
      <c r="A41" s="18" t="inlineStr">
        <is>
          <t>2. OUTSTANDING (Rs. Cr, as at later period)</t>
        </is>
      </c>
    </row>
    <row r="42">
      <c r="A42" s="19" t="inlineStr">
        <is>
          <t>AS AT Q3FY26 ▾</t>
        </is>
      </c>
      <c r="B42" s="20" t="inlineStr">
        <is>
          <t>AS AT Q4FY26</t>
        </is>
      </c>
    </row>
    <row r="43">
      <c r="A43" s="3" t="inlineStr">
        <is>
          <t>Stage/Bucket</t>
        </is>
      </c>
      <c r="B43" s="4" t="inlineStr">
        <is>
          <t>0 (Current)</t>
        </is>
      </c>
      <c r="C43" s="4" t="inlineStr">
        <is>
          <t>1-30</t>
        </is>
      </c>
      <c r="D43" s="4" t="inlineStr">
        <is>
          <t>31-60</t>
        </is>
      </c>
      <c r="E43" s="4" t="inlineStr">
        <is>
          <t>61-90</t>
        </is>
      </c>
      <c r="F43" s="4" t="inlineStr">
        <is>
          <t>91-120</t>
        </is>
      </c>
      <c r="G43" s="4" t="inlineStr">
        <is>
          <t>120+</t>
        </is>
      </c>
      <c r="H43" s="3" t="inlineStr">
        <is>
          <t>Total</t>
        </is>
      </c>
    </row>
    <row r="44">
      <c r="A44" s="3" t="inlineStr">
        <is>
          <t>0 (Current)</t>
        </is>
      </c>
      <c r="B44" s="28" t="n">
        <v>61.63</v>
      </c>
      <c r="C44" s="29" t="n">
        <v>13.91</v>
      </c>
      <c r="D44" s="30" t="n">
        <v>0</v>
      </c>
      <c r="E44" s="30" t="n">
        <v>0</v>
      </c>
      <c r="F44" s="30" t="n">
        <v>0</v>
      </c>
      <c r="G44" s="30" t="n">
        <v>0</v>
      </c>
      <c r="H44" s="31">
        <f>SUM(B44:G44)</f>
        <v/>
      </c>
    </row>
    <row r="45">
      <c r="A45" s="3" t="inlineStr">
        <is>
          <t>1-30</t>
        </is>
      </c>
      <c r="B45" s="32" t="n">
        <v>3.22</v>
      </c>
      <c r="C45" s="43" t="n">
        <v>0</v>
      </c>
      <c r="D45" s="30" t="n">
        <v>0</v>
      </c>
      <c r="E45" s="29" t="n">
        <v>2.85</v>
      </c>
      <c r="F45" s="30" t="n">
        <v>0</v>
      </c>
      <c r="G45" s="30" t="n">
        <v>0</v>
      </c>
      <c r="H45" s="31">
        <f>SUM(B45:G45)</f>
        <v/>
      </c>
    </row>
    <row r="46">
      <c r="A46" s="3" t="inlineStr">
        <is>
          <t>31-60</t>
        </is>
      </c>
      <c r="B46" s="32" t="n">
        <v>0.37</v>
      </c>
      <c r="C46" s="32" t="n">
        <v>5.16</v>
      </c>
      <c r="D46" s="28" t="n">
        <v>4.94</v>
      </c>
      <c r="E46" s="30" t="n">
        <v>0</v>
      </c>
      <c r="F46" s="29" t="n">
        <v>2.94</v>
      </c>
      <c r="G46" s="30" t="n">
        <v>0</v>
      </c>
      <c r="H46" s="31">
        <f>SUM(B46:G46)</f>
        <v/>
      </c>
    </row>
    <row r="47">
      <c r="A47" s="3" t="inlineStr">
        <is>
          <t>61-90</t>
        </is>
      </c>
      <c r="B47" s="33" t="n">
        <v>0</v>
      </c>
      <c r="C47" s="33" t="n">
        <v>0</v>
      </c>
      <c r="D47" s="33" t="n">
        <v>0</v>
      </c>
      <c r="E47" s="28" t="n">
        <v>1.92</v>
      </c>
      <c r="F47" s="30" t="n">
        <v>0</v>
      </c>
      <c r="G47" s="29" t="n">
        <v>2.01</v>
      </c>
      <c r="H47" s="31">
        <f>SUM(B47:G47)</f>
        <v/>
      </c>
    </row>
    <row r="48">
      <c r="A48" s="3" t="inlineStr">
        <is>
          <t>91-120</t>
        </is>
      </c>
      <c r="B48" s="33" t="n">
        <v>0</v>
      </c>
      <c r="C48" s="33" t="n">
        <v>0</v>
      </c>
      <c r="D48" s="33" t="n">
        <v>0</v>
      </c>
      <c r="E48" s="33" t="n">
        <v>0</v>
      </c>
      <c r="F48" s="43" t="n">
        <v>0</v>
      </c>
      <c r="G48" s="30" t="n">
        <v>0</v>
      </c>
      <c r="H48" s="31">
        <f>SUM(B48:G48)</f>
        <v/>
      </c>
    </row>
    <row r="49">
      <c r="A49" s="3" t="inlineStr">
        <is>
          <t>120+</t>
        </is>
      </c>
      <c r="B49" s="33" t="n">
        <v>0</v>
      </c>
      <c r="C49" s="33" t="n">
        <v>0</v>
      </c>
      <c r="D49" s="33" t="n">
        <v>0</v>
      </c>
      <c r="E49" s="33" t="n">
        <v>0</v>
      </c>
      <c r="F49" s="33" t="n">
        <v>0</v>
      </c>
      <c r="G49" s="28" t="n">
        <v>18.41</v>
      </c>
      <c r="H49" s="31">
        <f>SUM(B49:G49)</f>
        <v/>
      </c>
    </row>
    <row r="50">
      <c r="A50" s="3" t="inlineStr">
        <is>
          <t>Total</t>
        </is>
      </c>
      <c r="B50" s="34">
        <f>SUM(B44:B49)</f>
        <v/>
      </c>
      <c r="C50" s="34">
        <f>SUM(C44:C49)</f>
        <v/>
      </c>
      <c r="D50" s="34">
        <f>SUM(D44:D49)</f>
        <v/>
      </c>
      <c r="E50" s="34">
        <f>SUM(E44:E49)</f>
        <v/>
      </c>
      <c r="F50" s="34">
        <f>SUM(F44:F49)</f>
        <v/>
      </c>
      <c r="G50" s="34">
        <f>SUM(G44:G49)</f>
        <v/>
      </c>
      <c r="H50" s="34">
        <f>SUM(H44:H49)</f>
        <v/>
      </c>
    </row>
    <row r="52">
      <c r="A52" s="18" t="inlineStr">
        <is>
          <t>3. LOAN COUNT</t>
        </is>
      </c>
    </row>
    <row r="53">
      <c r="A53" s="19" t="inlineStr">
        <is>
          <t>AS AT Q3FY26 ▾</t>
        </is>
      </c>
      <c r="B53" s="20" t="inlineStr">
        <is>
          <t>AS AT Q4FY26</t>
        </is>
      </c>
    </row>
    <row r="54">
      <c r="A54" s="3" t="inlineStr">
        <is>
          <t>Stage/Bucket</t>
        </is>
      </c>
      <c r="B54" s="4" t="inlineStr">
        <is>
          <t>0 (Current)</t>
        </is>
      </c>
      <c r="C54" s="4" t="inlineStr">
        <is>
          <t>1-30</t>
        </is>
      </c>
      <c r="D54" s="4" t="inlineStr">
        <is>
          <t>31-60</t>
        </is>
      </c>
      <c r="E54" s="4" t="inlineStr">
        <is>
          <t>61-90</t>
        </is>
      </c>
      <c r="F54" s="4" t="inlineStr">
        <is>
          <t>91-120</t>
        </is>
      </c>
      <c r="G54" s="4" t="inlineStr">
        <is>
          <t>120+</t>
        </is>
      </c>
      <c r="H54" s="3" t="inlineStr">
        <is>
          <t>Total</t>
        </is>
      </c>
    </row>
    <row r="55">
      <c r="A55" s="3" t="inlineStr">
        <is>
          <t>0 (Current)</t>
        </is>
      </c>
      <c r="B55" s="35" t="n">
        <v>17</v>
      </c>
      <c r="C55" s="36" t="n">
        <v>4</v>
      </c>
      <c r="D55" s="37" t="n">
        <v>0</v>
      </c>
      <c r="E55" s="37" t="n">
        <v>0</v>
      </c>
      <c r="F55" s="37" t="n">
        <v>0</v>
      </c>
      <c r="G55" s="37" t="n">
        <v>0</v>
      </c>
      <c r="H55" s="38">
        <f>SUM(B55:G55)</f>
        <v/>
      </c>
    </row>
    <row r="56">
      <c r="A56" s="3" t="inlineStr">
        <is>
          <t>1-30</t>
        </is>
      </c>
      <c r="B56" s="39" t="n">
        <v>2</v>
      </c>
      <c r="C56" s="44" t="n">
        <v>0</v>
      </c>
      <c r="D56" s="37" t="n">
        <v>0</v>
      </c>
      <c r="E56" s="36" t="n">
        <v>1</v>
      </c>
      <c r="F56" s="37" t="n">
        <v>0</v>
      </c>
      <c r="G56" s="37" t="n">
        <v>0</v>
      </c>
      <c r="H56" s="38">
        <f>SUM(B56:G56)</f>
        <v/>
      </c>
    </row>
    <row r="57">
      <c r="A57" s="3" t="inlineStr">
        <is>
          <t>31-60</t>
        </is>
      </c>
      <c r="B57" s="39" t="n">
        <v>1</v>
      </c>
      <c r="C57" s="39" t="n">
        <v>1</v>
      </c>
      <c r="D57" s="35" t="n">
        <v>1</v>
      </c>
      <c r="E57" s="37" t="n">
        <v>0</v>
      </c>
      <c r="F57" s="36" t="n">
        <v>1</v>
      </c>
      <c r="G57" s="37" t="n">
        <v>0</v>
      </c>
      <c r="H57" s="38">
        <f>SUM(B57:G57)</f>
        <v/>
      </c>
    </row>
    <row r="58">
      <c r="A58" s="3" t="inlineStr">
        <is>
          <t>61-90</t>
        </is>
      </c>
      <c r="B58" s="40" t="n">
        <v>0</v>
      </c>
      <c r="C58" s="40" t="n">
        <v>0</v>
      </c>
      <c r="D58" s="40" t="n">
        <v>0</v>
      </c>
      <c r="E58" s="35" t="n">
        <v>1</v>
      </c>
      <c r="F58" s="37" t="n">
        <v>0</v>
      </c>
      <c r="G58" s="36" t="n">
        <v>1</v>
      </c>
      <c r="H58" s="38">
        <f>SUM(B58:G58)</f>
        <v/>
      </c>
    </row>
    <row r="59">
      <c r="A59" s="3" t="inlineStr">
        <is>
          <t>91-120</t>
        </is>
      </c>
      <c r="B59" s="40" t="n">
        <v>0</v>
      </c>
      <c r="C59" s="40" t="n">
        <v>0</v>
      </c>
      <c r="D59" s="40" t="n">
        <v>0</v>
      </c>
      <c r="E59" s="40" t="n">
        <v>0</v>
      </c>
      <c r="F59" s="44" t="n">
        <v>0</v>
      </c>
      <c r="G59" s="37" t="n">
        <v>0</v>
      </c>
      <c r="H59" s="38">
        <f>SUM(B59:G59)</f>
        <v/>
      </c>
    </row>
    <row r="60">
      <c r="A60" s="3" t="inlineStr">
        <is>
          <t>120+</t>
        </is>
      </c>
      <c r="B60" s="40" t="n">
        <v>0</v>
      </c>
      <c r="C60" s="40" t="n">
        <v>0</v>
      </c>
      <c r="D60" s="40" t="n">
        <v>0</v>
      </c>
      <c r="E60" s="40" t="n">
        <v>0</v>
      </c>
      <c r="F60" s="40" t="n">
        <v>0</v>
      </c>
      <c r="G60" s="35" t="n">
        <v>7</v>
      </c>
      <c r="H60" s="38">
        <f>SUM(B60:G60)</f>
        <v/>
      </c>
    </row>
    <row r="61">
      <c r="A61" s="3" t="inlineStr">
        <is>
          <t>Total</t>
        </is>
      </c>
      <c r="B61" s="41">
        <f>SUM(B55:B60)</f>
        <v/>
      </c>
      <c r="C61" s="41">
        <f>SUM(C55:C60)</f>
        <v/>
      </c>
      <c r="D61" s="41">
        <f>SUM(D55:D60)</f>
        <v/>
      </c>
      <c r="E61" s="41">
        <f>SUM(E55:E60)</f>
        <v/>
      </c>
      <c r="F61" s="41">
        <f>SUM(F55:F60)</f>
        <v/>
      </c>
      <c r="G61" s="41">
        <f>SUM(G55:G60)</f>
        <v/>
      </c>
      <c r="H61" s="41">
        <f>SUM(H55:H60)</f>
        <v/>
      </c>
    </row>
    <row r="63">
      <c r="A63" s="16" t="inlineStr">
        <is>
          <t>C. PORTFOLIO ENTRIES &amp; EXITS</t>
        </is>
      </c>
    </row>
    <row r="64">
      <c r="A64" t="inlineStr">
        <is>
          <t>Repaid / closed (non write-off) between Q3FY26 and Q4FY26: 0 loan(s), Rs. 0.00 Cr (as last recorded)</t>
        </is>
      </c>
    </row>
    <row r="65">
      <c r="A65" t="inlineStr">
        <is>
          <t>Newly originated between Q3FY26 and Q4FY26: 0 loan(s), Rs. 0.00 Cr</t>
        </is>
      </c>
    </row>
  </sheetData>
  <mergeCells count="6">
    <mergeCell ref="B53:H53"/>
    <mergeCell ref="B6:E6"/>
    <mergeCell ref="B42:H42"/>
    <mergeCell ref="B14:E14"/>
    <mergeCell ref="B22:E22"/>
    <mergeCell ref="B31:H31"/>
  </mergeCells>
  <hyperlinks>
    <hyperlink xmlns:r="http://schemas.openxmlformats.org/officeDocument/2006/relationships" ref="B8" r:id="rId1"/>
    <hyperlink xmlns:r="http://schemas.openxmlformats.org/officeDocument/2006/relationships" ref="C8" r:id="rId2"/>
    <hyperlink xmlns:r="http://schemas.openxmlformats.org/officeDocument/2006/relationships" ref="B9" r:id="rId3"/>
    <hyperlink xmlns:r="http://schemas.openxmlformats.org/officeDocument/2006/relationships" ref="C9" r:id="rId4"/>
    <hyperlink xmlns:r="http://schemas.openxmlformats.org/officeDocument/2006/relationships" ref="D9" r:id="rId5"/>
    <hyperlink xmlns:r="http://schemas.openxmlformats.org/officeDocument/2006/relationships" ref="D10" r:id="rId6"/>
    <hyperlink xmlns:r="http://schemas.openxmlformats.org/officeDocument/2006/relationships" ref="B16" r:id="rId7"/>
    <hyperlink xmlns:r="http://schemas.openxmlformats.org/officeDocument/2006/relationships" ref="C16" r:id="rId8"/>
    <hyperlink xmlns:r="http://schemas.openxmlformats.org/officeDocument/2006/relationships" ref="B17" r:id="rId9"/>
    <hyperlink xmlns:r="http://schemas.openxmlformats.org/officeDocument/2006/relationships" ref="C17" r:id="rId10"/>
    <hyperlink xmlns:r="http://schemas.openxmlformats.org/officeDocument/2006/relationships" ref="D17" r:id="rId11"/>
    <hyperlink xmlns:r="http://schemas.openxmlformats.org/officeDocument/2006/relationships" ref="D18" r:id="rId12"/>
    <hyperlink xmlns:r="http://schemas.openxmlformats.org/officeDocument/2006/relationships" ref="B24" r:id="rId13"/>
    <hyperlink xmlns:r="http://schemas.openxmlformats.org/officeDocument/2006/relationships" ref="C24" r:id="rId14"/>
    <hyperlink xmlns:r="http://schemas.openxmlformats.org/officeDocument/2006/relationships" ref="B25" r:id="rId15"/>
    <hyperlink xmlns:r="http://schemas.openxmlformats.org/officeDocument/2006/relationships" ref="C25" r:id="rId16"/>
    <hyperlink xmlns:r="http://schemas.openxmlformats.org/officeDocument/2006/relationships" ref="D25" r:id="rId17"/>
    <hyperlink xmlns:r="http://schemas.openxmlformats.org/officeDocument/2006/relationships" ref="D26" r:id="rId18"/>
    <hyperlink xmlns:r="http://schemas.openxmlformats.org/officeDocument/2006/relationships" ref="B33" r:id="rId19"/>
    <hyperlink xmlns:r="http://schemas.openxmlformats.org/officeDocument/2006/relationships" ref="C33" r:id="rId20"/>
    <hyperlink xmlns:r="http://schemas.openxmlformats.org/officeDocument/2006/relationships" ref="B34" r:id="rId21"/>
    <hyperlink xmlns:r="http://schemas.openxmlformats.org/officeDocument/2006/relationships" ref="E34" r:id="rId22"/>
    <hyperlink xmlns:r="http://schemas.openxmlformats.org/officeDocument/2006/relationships" ref="B35" r:id="rId23"/>
    <hyperlink xmlns:r="http://schemas.openxmlformats.org/officeDocument/2006/relationships" ref="C35" r:id="rId24"/>
    <hyperlink xmlns:r="http://schemas.openxmlformats.org/officeDocument/2006/relationships" ref="D35" r:id="rId25"/>
    <hyperlink xmlns:r="http://schemas.openxmlformats.org/officeDocument/2006/relationships" ref="F35" r:id="rId26"/>
    <hyperlink xmlns:r="http://schemas.openxmlformats.org/officeDocument/2006/relationships" ref="E36" r:id="rId27"/>
    <hyperlink xmlns:r="http://schemas.openxmlformats.org/officeDocument/2006/relationships" ref="G36" r:id="rId28"/>
    <hyperlink xmlns:r="http://schemas.openxmlformats.org/officeDocument/2006/relationships" ref="G38" r:id="rId29"/>
    <hyperlink xmlns:r="http://schemas.openxmlformats.org/officeDocument/2006/relationships" ref="B44" r:id="rId30"/>
    <hyperlink xmlns:r="http://schemas.openxmlformats.org/officeDocument/2006/relationships" ref="C44" r:id="rId31"/>
    <hyperlink xmlns:r="http://schemas.openxmlformats.org/officeDocument/2006/relationships" ref="B45" r:id="rId32"/>
    <hyperlink xmlns:r="http://schemas.openxmlformats.org/officeDocument/2006/relationships" ref="E45" r:id="rId33"/>
    <hyperlink xmlns:r="http://schemas.openxmlformats.org/officeDocument/2006/relationships" ref="B46" r:id="rId34"/>
    <hyperlink xmlns:r="http://schemas.openxmlformats.org/officeDocument/2006/relationships" ref="C46" r:id="rId35"/>
    <hyperlink xmlns:r="http://schemas.openxmlformats.org/officeDocument/2006/relationships" ref="D46" r:id="rId36"/>
    <hyperlink xmlns:r="http://schemas.openxmlformats.org/officeDocument/2006/relationships" ref="F46" r:id="rId37"/>
    <hyperlink xmlns:r="http://schemas.openxmlformats.org/officeDocument/2006/relationships" ref="E47" r:id="rId38"/>
    <hyperlink xmlns:r="http://schemas.openxmlformats.org/officeDocument/2006/relationships" ref="G47" r:id="rId39"/>
    <hyperlink xmlns:r="http://schemas.openxmlformats.org/officeDocument/2006/relationships" ref="G49" r:id="rId40"/>
    <hyperlink xmlns:r="http://schemas.openxmlformats.org/officeDocument/2006/relationships" ref="B55" r:id="rId41"/>
    <hyperlink xmlns:r="http://schemas.openxmlformats.org/officeDocument/2006/relationships" ref="C55" r:id="rId42"/>
    <hyperlink xmlns:r="http://schemas.openxmlformats.org/officeDocument/2006/relationships" ref="B56" r:id="rId43"/>
    <hyperlink xmlns:r="http://schemas.openxmlformats.org/officeDocument/2006/relationships" ref="E56" r:id="rId44"/>
    <hyperlink xmlns:r="http://schemas.openxmlformats.org/officeDocument/2006/relationships" ref="B57" r:id="rId45"/>
    <hyperlink xmlns:r="http://schemas.openxmlformats.org/officeDocument/2006/relationships" ref="C57" r:id="rId46"/>
    <hyperlink xmlns:r="http://schemas.openxmlformats.org/officeDocument/2006/relationships" ref="D57" r:id="rId47"/>
    <hyperlink xmlns:r="http://schemas.openxmlformats.org/officeDocument/2006/relationships" ref="F57" r:id="rId48"/>
    <hyperlink xmlns:r="http://schemas.openxmlformats.org/officeDocument/2006/relationships" ref="E58" r:id="rId49"/>
    <hyperlink xmlns:r="http://schemas.openxmlformats.org/officeDocument/2006/relationships" ref="G58" r:id="rId50"/>
    <hyperlink xmlns:r="http://schemas.openxmlformats.org/officeDocument/2006/relationships" ref="G60" r:id="rId51"/>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42"/>
  <sheetViews>
    <sheetView workbookViewId="0">
      <pane ySplit="5" topLeftCell="A6" activePane="bottomLeft" state="frozen"/>
      <selection pane="bottomLeft" activeCell="A1" sqref="A1"/>
    </sheetView>
  </sheetViews>
  <sheetFormatPr baseColWidth="8" defaultRowHeight="15"/>
  <cols>
    <col width="16" customWidth="1" min="1" max="1"/>
    <col width="16" customWidth="1" min="2" max="2"/>
    <col width="15" customWidth="1" min="3" max="3"/>
    <col width="15" customWidth="1" min="4" max="4"/>
    <col width="20" customWidth="1" min="5" max="5"/>
    <col width="19" customWidth="1" min="6" max="6"/>
    <col width="15" customWidth="1" min="7" max="7"/>
    <col width="25" customWidth="1" min="8" max="8"/>
    <col width="25" customWidth="1" min="9" max="9"/>
    <col width="23" customWidth="1" min="10" max="10"/>
    <col width="23" customWidth="1" min="11" max="11"/>
    <col width="21" customWidth="1" min="12" max="12"/>
    <col width="21" customWidth="1" min="13" max="13"/>
    <col width="15" customWidth="1" min="14" max="14"/>
    <col width="15" customWidth="1" min="15" max="15"/>
  </cols>
  <sheetData>
    <row r="1">
      <c r="A1" s="1" t="inlineStr">
        <is>
          <t>Loan-level Drill-down: Q3FY26 → Q4FY26</t>
        </is>
      </c>
    </row>
    <row r="2">
      <c r="A2" s="45" t="inlineStr">
        <is>
          <t>&lt;&lt; Back to Migration_Q3FY26_Q4FY26</t>
        </is>
      </c>
    </row>
    <row r="3">
      <c r="A3" s="2" t="inlineStr">
        <is>
          <t>Every loan present in both periods, with its stage and DPD bucket in each. Use Excel's filter on the Movement / Stage / DPD Bucket columns to isolate any cell of the matrices.</t>
        </is>
      </c>
    </row>
    <row r="5">
      <c r="A5" s="3" t="inlineStr">
        <is>
          <t>Stage (Q3FY26)</t>
        </is>
      </c>
      <c r="B5" s="3" t="inlineStr">
        <is>
          <t>Stage (Q4FY26)</t>
        </is>
      </c>
      <c r="C5" s="3" t="inlineStr">
        <is>
          <t>Movement</t>
        </is>
      </c>
      <c r="D5" s="3" t="inlineStr">
        <is>
          <t>LoanID</t>
        </is>
      </c>
      <c r="E5" s="3" t="inlineStr">
        <is>
          <t>CustomerName</t>
        </is>
      </c>
      <c r="F5" s="3" t="inlineStr">
        <is>
          <t>Product</t>
        </is>
      </c>
      <c r="G5" s="3" t="inlineStr">
        <is>
          <t>Branch</t>
        </is>
      </c>
      <c r="H5" s="3" t="inlineStr">
        <is>
          <t>Outstanding_Cr (Q3FY26)</t>
        </is>
      </c>
      <c r="I5" s="3" t="inlineStr">
        <is>
          <t>Outstanding_Cr (Q4FY26)</t>
        </is>
      </c>
      <c r="J5" s="3" t="inlineStr">
        <is>
          <t>Provision_Cr (Q3FY26)</t>
        </is>
      </c>
      <c r="K5" s="3" t="inlineStr">
        <is>
          <t>Provision_Cr (Q4FY26)</t>
        </is>
      </c>
      <c r="L5" s="3" t="inlineStr">
        <is>
          <t>DPD Bucket (Q3FY26)</t>
        </is>
      </c>
      <c r="M5" s="3" t="inlineStr">
        <is>
          <t>DPD Bucket (Q4FY26)</t>
        </is>
      </c>
      <c r="N5" s="3" t="inlineStr">
        <is>
          <t>DPD (Q3FY26)</t>
        </is>
      </c>
      <c r="O5" s="3" t="inlineStr">
        <is>
          <t>DPD (Q4FY26)</t>
        </is>
      </c>
    </row>
    <row r="6">
      <c r="A6" s="7" t="inlineStr">
        <is>
          <t>Stage 2</t>
        </is>
      </c>
      <c r="B6" s="7" t="inlineStr">
        <is>
          <t>Stage 3</t>
        </is>
      </c>
      <c r="C6" s="46" t="inlineStr">
        <is>
          <t>Deteriorated</t>
        </is>
      </c>
      <c r="D6" s="7" t="inlineStr">
        <is>
          <t>L0002</t>
        </is>
      </c>
      <c r="E6" s="7" t="inlineStr">
        <is>
          <t>Patel Engineering</t>
        </is>
      </c>
      <c r="F6" s="7" t="inlineStr">
        <is>
          <t>Equipment Finance</t>
        </is>
      </c>
      <c r="G6" s="7" t="inlineStr">
        <is>
          <t>Indore</t>
        </is>
      </c>
      <c r="H6" s="7" t="n">
        <v>2.03</v>
      </c>
      <c r="I6" s="7" t="n">
        <v>2.01</v>
      </c>
      <c r="J6" s="7" t="n">
        <v>0.342</v>
      </c>
      <c r="K6" s="7" t="n">
        <v>1.15</v>
      </c>
      <c r="L6" s="7" t="inlineStr">
        <is>
          <t>61-90</t>
        </is>
      </c>
      <c r="M6" s="7" t="inlineStr">
        <is>
          <t>120+</t>
        </is>
      </c>
      <c r="N6" s="7" t="n">
        <v>83</v>
      </c>
      <c r="O6" s="7" t="n">
        <v>186</v>
      </c>
    </row>
    <row r="7">
      <c r="A7" s="7" t="inlineStr">
        <is>
          <t>Stage 2</t>
        </is>
      </c>
      <c r="B7" s="7" t="inlineStr">
        <is>
          <t>Stage 3</t>
        </is>
      </c>
      <c r="C7" s="46" t="inlineStr">
        <is>
          <t>Deteriorated</t>
        </is>
      </c>
      <c r="D7" s="7" t="inlineStr">
        <is>
          <t>L0003</t>
        </is>
      </c>
      <c r="E7" s="7" t="inlineStr">
        <is>
          <t>Verma Logistics</t>
        </is>
      </c>
      <c r="F7" s="7" t="inlineStr">
        <is>
          <t>LAP</t>
        </is>
      </c>
      <c r="G7" s="7" t="inlineStr">
        <is>
          <t>Ahmedabad</t>
        </is>
      </c>
      <c r="H7" s="7" t="n">
        <v>3</v>
      </c>
      <c r="I7" s="7" t="n">
        <v>2.94</v>
      </c>
      <c r="J7" s="7" t="n">
        <v>0.585</v>
      </c>
      <c r="K7" s="7" t="n">
        <v>1.866</v>
      </c>
      <c r="L7" s="7" t="inlineStr">
        <is>
          <t>31-60</t>
        </is>
      </c>
      <c r="M7" s="7" t="inlineStr">
        <is>
          <t>91-120</t>
        </is>
      </c>
      <c r="N7" s="7" t="n">
        <v>55</v>
      </c>
      <c r="O7" s="7" t="n">
        <v>94</v>
      </c>
    </row>
    <row r="8">
      <c r="A8" s="7" t="inlineStr">
        <is>
          <t>Stage 1</t>
        </is>
      </c>
      <c r="B8" s="7" t="inlineStr">
        <is>
          <t>Stage 2</t>
        </is>
      </c>
      <c r="C8" s="46" t="inlineStr">
        <is>
          <t>Deteriorated</t>
        </is>
      </c>
      <c r="D8" s="7" t="inlineStr">
        <is>
          <t>L0027</t>
        </is>
      </c>
      <c r="E8" s="7" t="inlineStr">
        <is>
          <t>Malhotra Tools</t>
        </is>
      </c>
      <c r="F8" s="7" t="inlineStr">
        <is>
          <t>Business Loan</t>
        </is>
      </c>
      <c r="G8" s="7" t="inlineStr">
        <is>
          <t>Indore</t>
        </is>
      </c>
      <c r="H8" s="7" t="n">
        <v>2.93</v>
      </c>
      <c r="I8" s="7" t="n">
        <v>2.85</v>
      </c>
      <c r="J8" s="7" t="n">
        <v>0.022</v>
      </c>
      <c r="K8" s="7" t="n">
        <v>0.464</v>
      </c>
      <c r="L8" s="7" t="inlineStr">
        <is>
          <t>1-30</t>
        </is>
      </c>
      <c r="M8" s="7" t="inlineStr">
        <is>
          <t>61-90</t>
        </is>
      </c>
      <c r="N8" s="7" t="n">
        <v>25</v>
      </c>
      <c r="O8" s="7" t="n">
        <v>74</v>
      </c>
    </row>
    <row r="9">
      <c r="A9" s="7" t="inlineStr">
        <is>
          <t>Stage 2</t>
        </is>
      </c>
      <c r="B9" s="7" t="inlineStr">
        <is>
          <t>Stage 1</t>
        </is>
      </c>
      <c r="C9" s="47" t="inlineStr">
        <is>
          <t>Improved</t>
        </is>
      </c>
      <c r="D9" s="7" t="inlineStr">
        <is>
          <t>L0018</t>
        </is>
      </c>
      <c r="E9" s="7" t="inlineStr">
        <is>
          <t>Sinha Plastics</t>
        </is>
      </c>
      <c r="F9" s="7" t="inlineStr">
        <is>
          <t>Business Loan</t>
        </is>
      </c>
      <c r="G9" s="7" t="inlineStr">
        <is>
          <t>Indore</t>
        </is>
      </c>
      <c r="H9" s="7" t="n">
        <v>5.29</v>
      </c>
      <c r="I9" s="7" t="n">
        <v>5.16</v>
      </c>
      <c r="J9" s="7" t="n">
        <v>1.147</v>
      </c>
      <c r="K9" s="7" t="n">
        <v>0.025</v>
      </c>
      <c r="L9" s="7" t="inlineStr">
        <is>
          <t>31-60</t>
        </is>
      </c>
      <c r="M9" s="7" t="inlineStr">
        <is>
          <t>1-30</t>
        </is>
      </c>
      <c r="N9" s="7" t="n">
        <v>55</v>
      </c>
      <c r="O9" s="7" t="n">
        <v>13</v>
      </c>
    </row>
    <row r="10">
      <c r="A10" s="7" t="inlineStr">
        <is>
          <t>Stage 2</t>
        </is>
      </c>
      <c r="B10" s="7" t="inlineStr">
        <is>
          <t>Stage 1</t>
        </is>
      </c>
      <c r="C10" s="47" t="inlineStr">
        <is>
          <t>Improved</t>
        </is>
      </c>
      <c r="D10" s="7" t="inlineStr">
        <is>
          <t>L0025</t>
        </is>
      </c>
      <c r="E10" s="7" t="inlineStr">
        <is>
          <t>Thakur Transport</t>
        </is>
      </c>
      <c r="F10" s="7" t="inlineStr">
        <is>
          <t>LAP</t>
        </is>
      </c>
      <c r="G10" s="7" t="inlineStr">
        <is>
          <t>Pune</t>
        </is>
      </c>
      <c r="H10" s="7" t="n">
        <v>0.37</v>
      </c>
      <c r="I10" s="7" t="n">
        <v>0.37</v>
      </c>
      <c r="J10" s="7" t="n">
        <v>0.059</v>
      </c>
      <c r="K10" s="7" t="n">
        <v>0.003</v>
      </c>
      <c r="L10" s="7" t="inlineStr">
        <is>
          <t>31-60</t>
        </is>
      </c>
      <c r="M10" s="7" t="inlineStr">
        <is>
          <t>0 (Current)</t>
        </is>
      </c>
      <c r="N10" s="7" t="n">
        <v>31</v>
      </c>
      <c r="O10" s="7" t="n">
        <v>0</v>
      </c>
    </row>
    <row r="11">
      <c r="A11" s="7" t="inlineStr">
        <is>
          <t>Stage 1</t>
        </is>
      </c>
      <c r="B11" s="7" t="inlineStr">
        <is>
          <t>Stage 1</t>
        </is>
      </c>
      <c r="C11" s="7" t="inlineStr">
        <is>
          <t>No change</t>
        </is>
      </c>
      <c r="D11" s="7" t="inlineStr">
        <is>
          <t>L0001</t>
        </is>
      </c>
      <c r="E11" s="7" t="inlineStr">
        <is>
          <t>Sharma Textiles</t>
        </is>
      </c>
      <c r="F11" s="7" t="inlineStr">
        <is>
          <t>Business Loan</t>
        </is>
      </c>
      <c r="G11" s="7" t="inlineStr">
        <is>
          <t>Ahmedabad</t>
        </is>
      </c>
      <c r="H11" s="7" t="n">
        <v>3.02</v>
      </c>
      <c r="I11" s="7" t="n">
        <v>3</v>
      </c>
      <c r="J11" s="7" t="n">
        <v>0.042</v>
      </c>
      <c r="K11" s="7" t="n">
        <v>0.024</v>
      </c>
      <c r="L11" s="7" t="inlineStr">
        <is>
          <t>0 (Current)</t>
        </is>
      </c>
      <c r="M11" s="7" t="inlineStr">
        <is>
          <t>0 (Current)</t>
        </is>
      </c>
      <c r="N11" s="7" t="n">
        <v>0</v>
      </c>
      <c r="O11" s="7" t="n">
        <v>0</v>
      </c>
    </row>
    <row r="12">
      <c r="A12" s="7" t="inlineStr">
        <is>
          <t>Stage 1</t>
        </is>
      </c>
      <c r="B12" s="7" t="inlineStr">
        <is>
          <t>Stage 1</t>
        </is>
      </c>
      <c r="C12" s="7" t="inlineStr">
        <is>
          <t>No change</t>
        </is>
      </c>
      <c r="D12" s="7" t="inlineStr">
        <is>
          <t>L0004</t>
        </is>
      </c>
      <c r="E12" s="7" t="inlineStr">
        <is>
          <t>Iyer Foods</t>
        </is>
      </c>
      <c r="F12" s="7" t="inlineStr">
        <is>
          <t>LAP</t>
        </is>
      </c>
      <c r="G12" s="7" t="inlineStr">
        <is>
          <t>Pune</t>
        </is>
      </c>
      <c r="H12" s="7" t="n">
        <v>0.79</v>
      </c>
      <c r="I12" s="7" t="n">
        <v>0.77</v>
      </c>
      <c r="J12" s="7" t="n">
        <v>0.008</v>
      </c>
      <c r="K12" s="7" t="n">
        <v>0.008</v>
      </c>
      <c r="L12" s="7" t="inlineStr">
        <is>
          <t>1-30</t>
        </is>
      </c>
      <c r="M12" s="7" t="inlineStr">
        <is>
          <t>0 (Current)</t>
        </is>
      </c>
      <c r="N12" s="7" t="n">
        <v>30</v>
      </c>
      <c r="O12" s="7" t="n">
        <v>0</v>
      </c>
    </row>
    <row r="13">
      <c r="A13" s="7" t="inlineStr">
        <is>
          <t>Stage 3</t>
        </is>
      </c>
      <c r="B13" s="7" t="inlineStr">
        <is>
          <t>Stage 3</t>
        </is>
      </c>
      <c r="C13" s="7" t="inlineStr">
        <is>
          <t>No change</t>
        </is>
      </c>
      <c r="D13" s="7" t="inlineStr">
        <is>
          <t>L0005</t>
        </is>
      </c>
      <c r="E13" s="7" t="inlineStr">
        <is>
          <t>Nair Constructions</t>
        </is>
      </c>
      <c r="F13" s="7" t="inlineStr">
        <is>
          <t>LAP</t>
        </is>
      </c>
      <c r="G13" s="7" t="inlineStr">
        <is>
          <t>Mumbai</t>
        </is>
      </c>
      <c r="H13" s="7" t="n">
        <v>5.13</v>
      </c>
      <c r="I13" s="7" t="n">
        <v>4.98</v>
      </c>
      <c r="J13" s="7" t="n">
        <v>3.089</v>
      </c>
      <c r="K13" s="7" t="n">
        <v>2.482</v>
      </c>
      <c r="L13" s="7" t="inlineStr">
        <is>
          <t>120+</t>
        </is>
      </c>
      <c r="M13" s="7" t="inlineStr">
        <is>
          <t>120+</t>
        </is>
      </c>
      <c r="N13" s="7" t="n">
        <v>252</v>
      </c>
      <c r="O13" s="7" t="n">
        <v>163</v>
      </c>
    </row>
    <row r="14">
      <c r="A14" s="7" t="inlineStr">
        <is>
          <t>Stage 1</t>
        </is>
      </c>
      <c r="B14" s="7" t="inlineStr">
        <is>
          <t>Stage 1</t>
        </is>
      </c>
      <c r="C14" s="7" t="inlineStr">
        <is>
          <t>No change</t>
        </is>
      </c>
      <c r="D14" s="7" t="inlineStr">
        <is>
          <t>L0006</t>
        </is>
      </c>
      <c r="E14" s="7" t="inlineStr">
        <is>
          <t>Reddy Agro</t>
        </is>
      </c>
      <c r="F14" s="7" t="inlineStr">
        <is>
          <t>Equipment Finance</t>
        </is>
      </c>
      <c r="G14" s="7" t="inlineStr">
        <is>
          <t>Pune</t>
        </is>
      </c>
      <c r="H14" s="7" t="n">
        <v>5.65</v>
      </c>
      <c r="I14" s="7" t="n">
        <v>5.38</v>
      </c>
      <c r="J14" s="7" t="n">
        <v>0.049</v>
      </c>
      <c r="K14" s="7" t="n">
        <v>0.031</v>
      </c>
      <c r="L14" s="7" t="inlineStr">
        <is>
          <t>0 (Current)</t>
        </is>
      </c>
      <c r="M14" s="7" t="inlineStr">
        <is>
          <t>1-30</t>
        </is>
      </c>
      <c r="N14" s="7" t="n">
        <v>0</v>
      </c>
      <c r="O14" s="7" t="n">
        <v>20</v>
      </c>
    </row>
    <row r="15">
      <c r="A15" s="7" t="inlineStr">
        <is>
          <t>Stage 3</t>
        </is>
      </c>
      <c r="B15" s="7" t="inlineStr">
        <is>
          <t>Stage 3</t>
        </is>
      </c>
      <c r="C15" s="7" t="inlineStr">
        <is>
          <t>No change</t>
        </is>
      </c>
      <c r="D15" s="7" t="inlineStr">
        <is>
          <t>L0008</t>
        </is>
      </c>
      <c r="E15" s="7" t="inlineStr">
        <is>
          <t>Desai Pharma</t>
        </is>
      </c>
      <c r="F15" s="7" t="inlineStr">
        <is>
          <t>Business Loan</t>
        </is>
      </c>
      <c r="G15" s="7" t="inlineStr">
        <is>
          <t>Indore</t>
        </is>
      </c>
      <c r="H15" s="7" t="n">
        <v>2.18</v>
      </c>
      <c r="I15" s="7" t="n">
        <v>2.15</v>
      </c>
      <c r="J15" s="7" t="n">
        <v>1.525</v>
      </c>
      <c r="K15" s="7" t="n">
        <v>1.512</v>
      </c>
      <c r="L15" s="7" t="inlineStr">
        <is>
          <t>120+</t>
        </is>
      </c>
      <c r="M15" s="7" t="inlineStr">
        <is>
          <t>120+</t>
        </is>
      </c>
      <c r="N15" s="7" t="n">
        <v>133</v>
      </c>
      <c r="O15" s="7" t="n">
        <v>133</v>
      </c>
    </row>
    <row r="16">
      <c r="A16" s="7" t="inlineStr">
        <is>
          <t>Stage 1</t>
        </is>
      </c>
      <c r="B16" s="7" t="inlineStr">
        <is>
          <t>Stage 1</t>
        </is>
      </c>
      <c r="C16" s="7" t="inlineStr">
        <is>
          <t>No change</t>
        </is>
      </c>
      <c r="D16" s="7" t="inlineStr">
        <is>
          <t>L0009</t>
        </is>
      </c>
      <c r="E16" s="7" t="inlineStr">
        <is>
          <t>Bose Electricals</t>
        </is>
      </c>
      <c r="F16" s="7" t="inlineStr">
        <is>
          <t>Equipment Finance</t>
        </is>
      </c>
      <c r="G16" s="7" t="inlineStr">
        <is>
          <t>Ahmedabad</t>
        </is>
      </c>
      <c r="H16" s="7" t="n">
        <v>4.14</v>
      </c>
      <c r="I16" s="7" t="n">
        <v>4.1</v>
      </c>
      <c r="J16" s="7" t="n">
        <v>0.031</v>
      </c>
      <c r="K16" s="7" t="n">
        <v>0.042</v>
      </c>
      <c r="L16" s="7" t="inlineStr">
        <is>
          <t>0 (Current)</t>
        </is>
      </c>
      <c r="M16" s="7" t="inlineStr">
        <is>
          <t>1-30</t>
        </is>
      </c>
      <c r="N16" s="7" t="n">
        <v>0</v>
      </c>
      <c r="O16" s="7" t="n">
        <v>3</v>
      </c>
    </row>
    <row r="17">
      <c r="A17" s="7" t="inlineStr">
        <is>
          <t>Stage 2</t>
        </is>
      </c>
      <c r="B17" s="7" t="inlineStr">
        <is>
          <t>Stage 2</t>
        </is>
      </c>
      <c r="C17" s="7" t="inlineStr">
        <is>
          <t>No change</t>
        </is>
      </c>
      <c r="D17" s="7" t="inlineStr">
        <is>
          <t>L0010</t>
        </is>
      </c>
      <c r="E17" s="7" t="inlineStr">
        <is>
          <t>Menon Traders</t>
        </is>
      </c>
      <c r="F17" s="7" t="inlineStr">
        <is>
          <t>Business Loan</t>
        </is>
      </c>
      <c r="G17" s="7" t="inlineStr">
        <is>
          <t>Pune</t>
        </is>
      </c>
      <c r="H17" s="7" t="n">
        <v>1.98</v>
      </c>
      <c r="I17" s="7" t="n">
        <v>1.92</v>
      </c>
      <c r="J17" s="7" t="n">
        <v>0.26</v>
      </c>
      <c r="K17" s="7" t="n">
        <v>0.339</v>
      </c>
      <c r="L17" s="7" t="inlineStr">
        <is>
          <t>61-90</t>
        </is>
      </c>
      <c r="M17" s="7" t="inlineStr">
        <is>
          <t>61-90</t>
        </is>
      </c>
      <c r="N17" s="7" t="n">
        <v>87</v>
      </c>
      <c r="O17" s="7" t="n">
        <v>87</v>
      </c>
    </row>
    <row r="18">
      <c r="A18" s="7" t="inlineStr">
        <is>
          <t>Stage 1</t>
        </is>
      </c>
      <c r="B18" s="7" t="inlineStr">
        <is>
          <t>Stage 1</t>
        </is>
      </c>
      <c r="C18" s="7" t="inlineStr">
        <is>
          <t>No change</t>
        </is>
      </c>
      <c r="D18" s="7" t="inlineStr">
        <is>
          <t>L0011</t>
        </is>
      </c>
      <c r="E18" s="7" t="inlineStr">
        <is>
          <t>Joshi Auto Parts</t>
        </is>
      </c>
      <c r="F18" s="7" t="inlineStr">
        <is>
          <t>Working Capital</t>
        </is>
      </c>
      <c r="G18" s="7" t="inlineStr">
        <is>
          <t>Ahmedabad</t>
        </is>
      </c>
      <c r="H18" s="7" t="n">
        <v>3.35</v>
      </c>
      <c r="I18" s="7" t="n">
        <v>3.28</v>
      </c>
      <c r="J18" s="7" t="n">
        <v>0.036</v>
      </c>
      <c r="K18" s="7" t="n">
        <v>0.031</v>
      </c>
      <c r="L18" s="7" t="inlineStr">
        <is>
          <t>0 (Current)</t>
        </is>
      </c>
      <c r="M18" s="7" t="inlineStr">
        <is>
          <t>0 (Current)</t>
        </is>
      </c>
      <c r="N18" s="7" t="n">
        <v>0</v>
      </c>
      <c r="O18" s="7" t="n">
        <v>0</v>
      </c>
    </row>
    <row r="19">
      <c r="A19" s="7" t="inlineStr">
        <is>
          <t>Stage 1</t>
        </is>
      </c>
      <c r="B19" s="7" t="inlineStr">
        <is>
          <t>Stage 1</t>
        </is>
      </c>
      <c r="C19" s="7" t="inlineStr">
        <is>
          <t>No change</t>
        </is>
      </c>
      <c r="D19" s="7" t="inlineStr">
        <is>
          <t>L0012</t>
        </is>
      </c>
      <c r="E19" s="7" t="inlineStr">
        <is>
          <t>Gupta Packaging</t>
        </is>
      </c>
      <c r="F19" s="7" t="inlineStr">
        <is>
          <t>Working Capital</t>
        </is>
      </c>
      <c r="G19" s="7" t="inlineStr">
        <is>
          <t>Ahmedabad</t>
        </is>
      </c>
      <c r="H19" s="7" t="n">
        <v>2.55</v>
      </c>
      <c r="I19" s="7" t="n">
        <v>2.45</v>
      </c>
      <c r="J19" s="7" t="n">
        <v>0.031</v>
      </c>
      <c r="K19" s="7" t="n">
        <v>0.013</v>
      </c>
      <c r="L19" s="7" t="inlineStr">
        <is>
          <t>1-30</t>
        </is>
      </c>
      <c r="M19" s="7" t="inlineStr">
        <is>
          <t>0 (Current)</t>
        </is>
      </c>
      <c r="N19" s="7" t="n">
        <v>6</v>
      </c>
      <c r="O19" s="7" t="n">
        <v>0</v>
      </c>
    </row>
    <row r="20">
      <c r="A20" s="7" t="inlineStr">
        <is>
          <t>Stage 1</t>
        </is>
      </c>
      <c r="B20" s="7" t="inlineStr">
        <is>
          <t>Stage 1</t>
        </is>
      </c>
      <c r="C20" s="7" t="inlineStr">
        <is>
          <t>No change</t>
        </is>
      </c>
      <c r="D20" s="7" t="inlineStr">
        <is>
          <t>L0013</t>
        </is>
      </c>
      <c r="E20" s="7" t="inlineStr">
        <is>
          <t>Rao Chemicals</t>
        </is>
      </c>
      <c r="F20" s="7" t="inlineStr">
        <is>
          <t>Equipment Finance</t>
        </is>
      </c>
      <c r="G20" s="7" t="inlineStr">
        <is>
          <t>Ahmedabad</t>
        </is>
      </c>
      <c r="H20" s="7" t="n">
        <v>4.47</v>
      </c>
      <c r="I20" s="7" t="n">
        <v>4.32</v>
      </c>
      <c r="J20" s="7" t="n">
        <v>0.049</v>
      </c>
      <c r="K20" s="7" t="n">
        <v>0.04</v>
      </c>
      <c r="L20" s="7" t="inlineStr">
        <is>
          <t>0 (Current)</t>
        </is>
      </c>
      <c r="M20" s="7" t="inlineStr">
        <is>
          <t>0 (Current)</t>
        </is>
      </c>
      <c r="N20" s="7" t="n">
        <v>0</v>
      </c>
      <c r="O20" s="7" t="n">
        <v>0</v>
      </c>
    </row>
    <row r="21">
      <c r="A21" s="7" t="inlineStr">
        <is>
          <t>Stage 1</t>
        </is>
      </c>
      <c r="B21" s="7" t="inlineStr">
        <is>
          <t>Stage 1</t>
        </is>
      </c>
      <c r="C21" s="7" t="inlineStr">
        <is>
          <t>No change</t>
        </is>
      </c>
      <c r="D21" s="7" t="inlineStr">
        <is>
          <t>L0014</t>
        </is>
      </c>
      <c r="E21" s="7" t="inlineStr">
        <is>
          <t>Shetty Hospitality</t>
        </is>
      </c>
      <c r="F21" s="7" t="inlineStr">
        <is>
          <t>Equipment Finance</t>
        </is>
      </c>
      <c r="G21" s="7" t="inlineStr">
        <is>
          <t>Ahmedabad</t>
        </is>
      </c>
      <c r="H21" s="7" t="n">
        <v>5.39</v>
      </c>
      <c r="I21" s="7" t="n">
        <v>5.27</v>
      </c>
      <c r="J21" s="7" t="n">
        <v>0.025</v>
      </c>
      <c r="K21" s="7" t="n">
        <v>0.073</v>
      </c>
      <c r="L21" s="7" t="inlineStr">
        <is>
          <t>0 (Current)</t>
        </is>
      </c>
      <c r="M21" s="7" t="inlineStr">
        <is>
          <t>0 (Current)</t>
        </is>
      </c>
      <c r="N21" s="7" t="n">
        <v>0</v>
      </c>
      <c r="O21" s="7" t="n">
        <v>0</v>
      </c>
    </row>
    <row r="22">
      <c r="A22" s="7" t="inlineStr">
        <is>
          <t>Stage 2</t>
        </is>
      </c>
      <c r="B22" s="7" t="inlineStr">
        <is>
          <t>Stage 2</t>
        </is>
      </c>
      <c r="C22" s="7" t="inlineStr">
        <is>
          <t>No change</t>
        </is>
      </c>
      <c r="D22" s="7" t="inlineStr">
        <is>
          <t>L0015</t>
        </is>
      </c>
      <c r="E22" s="7" t="inlineStr">
        <is>
          <t>Pillai Marine</t>
        </is>
      </c>
      <c r="F22" s="7" t="inlineStr">
        <is>
          <t>LAP</t>
        </is>
      </c>
      <c r="G22" s="7" t="inlineStr">
        <is>
          <t>Indore</t>
        </is>
      </c>
      <c r="H22" s="7" t="n">
        <v>5.05</v>
      </c>
      <c r="I22" s="7" t="n">
        <v>4.94</v>
      </c>
      <c r="J22" s="7" t="n">
        <v>0.463</v>
      </c>
      <c r="K22" s="7" t="n">
        <v>0.542</v>
      </c>
      <c r="L22" s="7" t="inlineStr">
        <is>
          <t>31-60</t>
        </is>
      </c>
      <c r="M22" s="7" t="inlineStr">
        <is>
          <t>31-60</t>
        </is>
      </c>
      <c r="N22" s="7" t="n">
        <v>56</v>
      </c>
      <c r="O22" s="7" t="n">
        <v>56</v>
      </c>
    </row>
    <row r="23">
      <c r="A23" s="7" t="inlineStr">
        <is>
          <t>Stage 1</t>
        </is>
      </c>
      <c r="B23" s="7" t="inlineStr">
        <is>
          <t>Stage 1</t>
        </is>
      </c>
      <c r="C23" s="7" t="inlineStr">
        <is>
          <t>No change</t>
        </is>
      </c>
      <c r="D23" s="7" t="inlineStr">
        <is>
          <t>L0016</t>
        </is>
      </c>
      <c r="E23" s="7" t="inlineStr">
        <is>
          <t>Chauhan Motors</t>
        </is>
      </c>
      <c r="F23" s="7" t="inlineStr">
        <is>
          <t>Working Capital</t>
        </is>
      </c>
      <c r="G23" s="7" t="inlineStr">
        <is>
          <t>Mumbai</t>
        </is>
      </c>
      <c r="H23" s="7" t="n">
        <v>3.58</v>
      </c>
      <c r="I23" s="7" t="n">
        <v>3.52</v>
      </c>
      <c r="J23" s="7" t="n">
        <v>0.044</v>
      </c>
      <c r="K23" s="7" t="n">
        <v>0.039</v>
      </c>
      <c r="L23" s="7" t="inlineStr">
        <is>
          <t>0 (Current)</t>
        </is>
      </c>
      <c r="M23" s="7" t="inlineStr">
        <is>
          <t>0 (Current)</t>
        </is>
      </c>
      <c r="N23" s="7" t="n">
        <v>0</v>
      </c>
      <c r="O23" s="7" t="n">
        <v>0</v>
      </c>
    </row>
    <row r="24">
      <c r="A24" s="7" t="inlineStr">
        <is>
          <t>Stage 1</t>
        </is>
      </c>
      <c r="B24" s="7" t="inlineStr">
        <is>
          <t>Stage 1</t>
        </is>
      </c>
      <c r="C24" s="7" t="inlineStr">
        <is>
          <t>No change</t>
        </is>
      </c>
      <c r="D24" s="7" t="inlineStr">
        <is>
          <t>L0017</t>
        </is>
      </c>
      <c r="E24" s="7" t="inlineStr">
        <is>
          <t>Bhatt Ceramics</t>
        </is>
      </c>
      <c r="F24" s="7" t="inlineStr">
        <is>
          <t>LAP</t>
        </is>
      </c>
      <c r="G24" s="7" t="inlineStr">
        <is>
          <t>Mumbai</t>
        </is>
      </c>
      <c r="H24" s="7" t="n">
        <v>1.15</v>
      </c>
      <c r="I24" s="7" t="n">
        <v>1.15</v>
      </c>
      <c r="J24" s="7" t="n">
        <v>0.008999999999999999</v>
      </c>
      <c r="K24" s="7" t="n">
        <v>0.008999999999999999</v>
      </c>
      <c r="L24" s="7" t="inlineStr">
        <is>
          <t>0 (Current)</t>
        </is>
      </c>
      <c r="M24" s="7" t="inlineStr">
        <is>
          <t>1-30</t>
        </is>
      </c>
      <c r="N24" s="7" t="n">
        <v>0</v>
      </c>
      <c r="O24" s="7" t="n">
        <v>28</v>
      </c>
    </row>
    <row r="25">
      <c r="A25" s="7" t="inlineStr">
        <is>
          <t>Stage 1</t>
        </is>
      </c>
      <c r="B25" s="7" t="inlineStr">
        <is>
          <t>Stage 1</t>
        </is>
      </c>
      <c r="C25" s="7" t="inlineStr">
        <is>
          <t>No change</t>
        </is>
      </c>
      <c r="D25" s="7" t="inlineStr">
        <is>
          <t>L0019</t>
        </is>
      </c>
      <c r="E25" s="7" t="inlineStr">
        <is>
          <t>Kapoor Garments</t>
        </is>
      </c>
      <c r="F25" s="7" t="inlineStr">
        <is>
          <t>Business Loan</t>
        </is>
      </c>
      <c r="G25" s="7" t="inlineStr">
        <is>
          <t>Nagpur</t>
        </is>
      </c>
      <c r="H25" s="7" t="n">
        <v>0.43</v>
      </c>
      <c r="I25" s="7" t="n">
        <v>0.42</v>
      </c>
      <c r="J25" s="7" t="n">
        <v>0.002</v>
      </c>
      <c r="K25" s="7" t="n">
        <v>0.006</v>
      </c>
      <c r="L25" s="7" t="inlineStr">
        <is>
          <t>0 (Current)</t>
        </is>
      </c>
      <c r="M25" s="7" t="inlineStr">
        <is>
          <t>0 (Current)</t>
        </is>
      </c>
      <c r="N25" s="7" t="n">
        <v>0</v>
      </c>
      <c r="O25" s="7" t="n">
        <v>0</v>
      </c>
    </row>
    <row r="26">
      <c r="A26" s="7" t="inlineStr">
        <is>
          <t>Stage 3</t>
        </is>
      </c>
      <c r="B26" s="7" t="inlineStr">
        <is>
          <t>Stage 3</t>
        </is>
      </c>
      <c r="C26" s="7" t="inlineStr">
        <is>
          <t>No change</t>
        </is>
      </c>
      <c r="D26" s="7" t="inlineStr">
        <is>
          <t>L0020</t>
        </is>
      </c>
      <c r="E26" s="7" t="inlineStr">
        <is>
          <t>Mehta Hardware</t>
        </is>
      </c>
      <c r="F26" s="7" t="inlineStr">
        <is>
          <t>Business Loan</t>
        </is>
      </c>
      <c r="G26" s="7" t="inlineStr">
        <is>
          <t>Ahmedabad</t>
        </is>
      </c>
      <c r="H26" s="7" t="n">
        <v>1.9</v>
      </c>
      <c r="I26" s="7" t="n">
        <v>1.86</v>
      </c>
      <c r="J26" s="7" t="n">
        <v>1.028</v>
      </c>
      <c r="K26" s="7" t="n">
        <v>0.843</v>
      </c>
      <c r="L26" s="7" t="inlineStr">
        <is>
          <t>120+</t>
        </is>
      </c>
      <c r="M26" s="7" t="inlineStr">
        <is>
          <t>120+</t>
        </is>
      </c>
      <c r="N26" s="7" t="n">
        <v>142</v>
      </c>
      <c r="O26" s="7" t="n">
        <v>249</v>
      </c>
    </row>
    <row r="27">
      <c r="A27" s="7" t="inlineStr">
        <is>
          <t>Stage 1</t>
        </is>
      </c>
      <c r="B27" s="7" t="inlineStr">
        <is>
          <t>Stage 1</t>
        </is>
      </c>
      <c r="C27" s="7" t="inlineStr">
        <is>
          <t>No change</t>
        </is>
      </c>
      <c r="D27" s="7" t="inlineStr">
        <is>
          <t>L0022</t>
        </is>
      </c>
      <c r="E27" s="7" t="inlineStr">
        <is>
          <t>Dutta Printers</t>
        </is>
      </c>
      <c r="F27" s="7" t="inlineStr">
        <is>
          <t>LAP</t>
        </is>
      </c>
      <c r="G27" s="7" t="inlineStr">
        <is>
          <t>Indore</t>
        </is>
      </c>
      <c r="H27" s="7" t="n">
        <v>3.91</v>
      </c>
      <c r="I27" s="7" t="n">
        <v>3.77</v>
      </c>
      <c r="J27" s="7" t="n">
        <v>0.052</v>
      </c>
      <c r="K27" s="7" t="n">
        <v>0.041</v>
      </c>
      <c r="L27" s="7" t="inlineStr">
        <is>
          <t>0 (Current)</t>
        </is>
      </c>
      <c r="M27" s="7" t="inlineStr">
        <is>
          <t>0 (Current)</t>
        </is>
      </c>
      <c r="N27" s="7" t="n">
        <v>0</v>
      </c>
      <c r="O27" s="7" t="n">
        <v>0</v>
      </c>
    </row>
    <row r="28">
      <c r="A28" s="7" t="inlineStr">
        <is>
          <t>Stage 1</t>
        </is>
      </c>
      <c r="B28" s="7" t="inlineStr">
        <is>
          <t>Stage 1</t>
        </is>
      </c>
      <c r="C28" s="7" t="inlineStr">
        <is>
          <t>No change</t>
        </is>
      </c>
      <c r="D28" s="7" t="inlineStr">
        <is>
          <t>L0023</t>
        </is>
      </c>
      <c r="E28" s="7" t="inlineStr">
        <is>
          <t>Sethi Furniture</t>
        </is>
      </c>
      <c r="F28" s="7" t="inlineStr">
        <is>
          <t>Equipment Finance</t>
        </is>
      </c>
      <c r="G28" s="7" t="inlineStr">
        <is>
          <t>Mumbai</t>
        </is>
      </c>
      <c r="H28" s="7" t="n">
        <v>2.89</v>
      </c>
      <c r="I28" s="7" t="n">
        <v>2.88</v>
      </c>
      <c r="J28" s="7" t="n">
        <v>0.02</v>
      </c>
      <c r="K28" s="7" t="n">
        <v>0.028</v>
      </c>
      <c r="L28" s="7" t="inlineStr">
        <is>
          <t>0 (Current)</t>
        </is>
      </c>
      <c r="M28" s="7" t="inlineStr">
        <is>
          <t>0 (Current)</t>
        </is>
      </c>
      <c r="N28" s="7" t="n">
        <v>0</v>
      </c>
      <c r="O28" s="7" t="n">
        <v>0</v>
      </c>
    </row>
    <row r="29">
      <c r="A29" s="7" t="inlineStr">
        <is>
          <t>Stage 3</t>
        </is>
      </c>
      <c r="B29" s="7" t="inlineStr">
        <is>
          <t>Stage 3</t>
        </is>
      </c>
      <c r="C29" s="7" t="inlineStr">
        <is>
          <t>No change</t>
        </is>
      </c>
      <c r="D29" s="7" t="inlineStr">
        <is>
          <t>L0024</t>
        </is>
      </c>
      <c r="E29" s="7" t="inlineStr">
        <is>
          <t>Bansal Wires</t>
        </is>
      </c>
      <c r="F29" s="7" t="inlineStr">
        <is>
          <t>Business Loan</t>
        </is>
      </c>
      <c r="G29" s="7" t="inlineStr">
        <is>
          <t>Pune</t>
        </is>
      </c>
      <c r="H29" s="7" t="n">
        <v>0.79</v>
      </c>
      <c r="I29" s="7" t="n">
        <v>0.77</v>
      </c>
      <c r="J29" s="7" t="n">
        <v>0.531</v>
      </c>
      <c r="K29" s="7" t="n">
        <v>0.403</v>
      </c>
      <c r="L29" s="7" t="inlineStr">
        <is>
          <t>120+</t>
        </is>
      </c>
      <c r="M29" s="7" t="inlineStr">
        <is>
          <t>120+</t>
        </is>
      </c>
      <c r="N29" s="7" t="n">
        <v>284</v>
      </c>
      <c r="O29" s="7" t="n">
        <v>235</v>
      </c>
    </row>
    <row r="30">
      <c r="A30" s="7" t="inlineStr">
        <is>
          <t>Stage 1</t>
        </is>
      </c>
      <c r="B30" s="7" t="inlineStr">
        <is>
          <t>Stage 1</t>
        </is>
      </c>
      <c r="C30" s="7" t="inlineStr">
        <is>
          <t>No change</t>
        </is>
      </c>
      <c r="D30" s="7" t="inlineStr">
        <is>
          <t>L0026</t>
        </is>
      </c>
      <c r="E30" s="7" t="inlineStr">
        <is>
          <t>Ghosh Seafoods</t>
        </is>
      </c>
      <c r="F30" s="7" t="inlineStr">
        <is>
          <t>LAP</t>
        </is>
      </c>
      <c r="G30" s="7" t="inlineStr">
        <is>
          <t>Ahmedabad</t>
        </is>
      </c>
      <c r="H30" s="7" t="n">
        <v>3.51</v>
      </c>
      <c r="I30" s="7" t="n">
        <v>3.48</v>
      </c>
      <c r="J30" s="7" t="n">
        <v>0.045</v>
      </c>
      <c r="K30" s="7" t="n">
        <v>0.04</v>
      </c>
      <c r="L30" s="7" t="inlineStr">
        <is>
          <t>0 (Current)</t>
        </is>
      </c>
      <c r="M30" s="7" t="inlineStr">
        <is>
          <t>0 (Current)</t>
        </is>
      </c>
      <c r="N30" s="7" t="n">
        <v>0</v>
      </c>
      <c r="O30" s="7" t="n">
        <v>0</v>
      </c>
    </row>
    <row r="31">
      <c r="A31" s="7" t="inlineStr">
        <is>
          <t>Stage 1</t>
        </is>
      </c>
      <c r="B31" s="7" t="inlineStr">
        <is>
          <t>Stage 1</t>
        </is>
      </c>
      <c r="C31" s="7" t="inlineStr">
        <is>
          <t>No change</t>
        </is>
      </c>
      <c r="D31" s="7" t="inlineStr">
        <is>
          <t>L0028</t>
        </is>
      </c>
      <c r="E31" s="7" t="inlineStr">
        <is>
          <t>Naidu Poultry</t>
        </is>
      </c>
      <c r="F31" s="7" t="inlineStr">
        <is>
          <t>LAP</t>
        </is>
      </c>
      <c r="G31" s="7" t="inlineStr">
        <is>
          <t>Ahmedabad</t>
        </is>
      </c>
      <c r="H31" s="7" t="n">
        <v>3.52</v>
      </c>
      <c r="I31" s="7" t="n">
        <v>3.39</v>
      </c>
      <c r="J31" s="7" t="n">
        <v>0.021</v>
      </c>
      <c r="K31" s="7" t="n">
        <v>0.039</v>
      </c>
      <c r="L31" s="7" t="inlineStr">
        <is>
          <t>0 (Current)</t>
        </is>
      </c>
      <c r="M31" s="7" t="inlineStr">
        <is>
          <t>0 (Current)</t>
        </is>
      </c>
      <c r="N31" s="7" t="n">
        <v>0</v>
      </c>
      <c r="O31" s="7" t="n">
        <v>0</v>
      </c>
    </row>
    <row r="32">
      <c r="A32" s="7" t="inlineStr">
        <is>
          <t>Stage 1</t>
        </is>
      </c>
      <c r="B32" s="7" t="inlineStr">
        <is>
          <t>Stage 1</t>
        </is>
      </c>
      <c r="C32" s="7" t="inlineStr">
        <is>
          <t>No change</t>
        </is>
      </c>
      <c r="D32" s="7" t="inlineStr">
        <is>
          <t>L0029</t>
        </is>
      </c>
      <c r="E32" s="7" t="inlineStr">
        <is>
          <t>Chopra Interiors</t>
        </is>
      </c>
      <c r="F32" s="7" t="inlineStr">
        <is>
          <t>LAP</t>
        </is>
      </c>
      <c r="G32" s="7" t="inlineStr">
        <is>
          <t>Nagpur</t>
        </is>
      </c>
      <c r="H32" s="7" t="n">
        <v>3.35</v>
      </c>
      <c r="I32" s="7" t="n">
        <v>3.28</v>
      </c>
      <c r="J32" s="7" t="n">
        <v>0.03</v>
      </c>
      <c r="K32" s="7" t="n">
        <v>0.019</v>
      </c>
      <c r="L32" s="7" t="inlineStr">
        <is>
          <t>0 (Current)</t>
        </is>
      </c>
      <c r="M32" s="7" t="inlineStr">
        <is>
          <t>1-30</t>
        </is>
      </c>
      <c r="N32" s="7" t="n">
        <v>0</v>
      </c>
      <c r="O32" s="7" t="n">
        <v>7</v>
      </c>
    </row>
    <row r="33">
      <c r="A33" s="7" t="inlineStr">
        <is>
          <t>Stage 1</t>
        </is>
      </c>
      <c r="B33" s="7" t="inlineStr">
        <is>
          <t>Stage 1</t>
        </is>
      </c>
      <c r="C33" s="7" t="inlineStr">
        <is>
          <t>No change</t>
        </is>
      </c>
      <c r="D33" s="7" t="inlineStr">
        <is>
          <t>L0030</t>
        </is>
      </c>
      <c r="E33" s="7" t="inlineStr">
        <is>
          <t>Saxena Cables</t>
        </is>
      </c>
      <c r="F33" s="7" t="inlineStr">
        <is>
          <t>Business Loan</t>
        </is>
      </c>
      <c r="G33" s="7" t="inlineStr">
        <is>
          <t>Ahmedabad</t>
        </is>
      </c>
      <c r="H33" s="7" t="n">
        <v>5.09</v>
      </c>
      <c r="I33" s="7" t="n">
        <v>4.92</v>
      </c>
      <c r="J33" s="7" t="n">
        <v>0.038</v>
      </c>
      <c r="K33" s="7" t="n">
        <v>0.031</v>
      </c>
      <c r="L33" s="7" t="inlineStr">
        <is>
          <t>0 (Current)</t>
        </is>
      </c>
      <c r="M33" s="7" t="inlineStr">
        <is>
          <t>0 (Current)</t>
        </is>
      </c>
      <c r="N33" s="7" t="n">
        <v>0</v>
      </c>
      <c r="O33" s="7" t="n">
        <v>0</v>
      </c>
    </row>
    <row r="34">
      <c r="A34" s="7" t="inlineStr">
        <is>
          <t>Stage 1</t>
        </is>
      </c>
      <c r="B34" s="7" t="inlineStr">
        <is>
          <t>Stage 1</t>
        </is>
      </c>
      <c r="C34" s="7" t="inlineStr">
        <is>
          <t>No change</t>
        </is>
      </c>
      <c r="D34" s="7" t="inlineStr">
        <is>
          <t>L0031</t>
        </is>
      </c>
      <c r="E34" s="7" t="inlineStr">
        <is>
          <t>Deshmukh Dairy</t>
        </is>
      </c>
      <c r="F34" s="7" t="inlineStr">
        <is>
          <t>Business Loan</t>
        </is>
      </c>
      <c r="G34" s="7" t="inlineStr">
        <is>
          <t>Mumbai</t>
        </is>
      </c>
      <c r="H34" s="7" t="n">
        <v>5.2</v>
      </c>
      <c r="I34" s="7" t="n">
        <v>5.03</v>
      </c>
      <c r="J34" s="7" t="n">
        <v>0.057</v>
      </c>
      <c r="K34" s="7" t="n">
        <v>0.043</v>
      </c>
      <c r="L34" s="7" t="inlineStr">
        <is>
          <t>0 (Current)</t>
        </is>
      </c>
      <c r="M34" s="7" t="inlineStr">
        <is>
          <t>0 (Current)</t>
        </is>
      </c>
      <c r="N34" s="7" t="n">
        <v>0</v>
      </c>
      <c r="O34" s="7" t="n">
        <v>0</v>
      </c>
    </row>
    <row r="35">
      <c r="A35" s="7" t="inlineStr">
        <is>
          <t>Stage 3</t>
        </is>
      </c>
      <c r="B35" s="7" t="inlineStr">
        <is>
          <t>Stage 3</t>
        </is>
      </c>
      <c r="C35" s="7" t="inlineStr">
        <is>
          <t>No change</t>
        </is>
      </c>
      <c r="D35" s="7" t="inlineStr">
        <is>
          <t>L0032</t>
        </is>
      </c>
      <c r="E35" s="7" t="inlineStr">
        <is>
          <t>Ahuja Footwear</t>
        </is>
      </c>
      <c r="F35" s="7" t="inlineStr">
        <is>
          <t>Working Capital</t>
        </is>
      </c>
      <c r="G35" s="7" t="inlineStr">
        <is>
          <t>Indore</t>
        </is>
      </c>
      <c r="H35" s="7" t="n">
        <v>1.29</v>
      </c>
      <c r="I35" s="7" t="n">
        <v>1.29</v>
      </c>
      <c r="J35" s="7" t="n">
        <v>0.902</v>
      </c>
      <c r="K35" s="7" t="n">
        <v>0.864</v>
      </c>
      <c r="L35" s="7" t="inlineStr">
        <is>
          <t>120+</t>
        </is>
      </c>
      <c r="M35" s="7" t="inlineStr">
        <is>
          <t>120+</t>
        </is>
      </c>
      <c r="N35" s="7" t="n">
        <v>175</v>
      </c>
      <c r="O35" s="7" t="n">
        <v>249</v>
      </c>
    </row>
    <row r="36">
      <c r="A36" s="7" t="inlineStr">
        <is>
          <t>Stage 1</t>
        </is>
      </c>
      <c r="B36" s="7" t="inlineStr">
        <is>
          <t>Stage 1</t>
        </is>
      </c>
      <c r="C36" s="7" t="inlineStr">
        <is>
          <t>No change</t>
        </is>
      </c>
      <c r="D36" s="7" t="inlineStr">
        <is>
          <t>L0033</t>
        </is>
      </c>
      <c r="E36" s="7" t="inlineStr">
        <is>
          <t>Trivedi Tiles</t>
        </is>
      </c>
      <c r="F36" s="7" t="inlineStr">
        <is>
          <t>Equipment Finance</t>
        </is>
      </c>
      <c r="G36" s="7" t="inlineStr">
        <is>
          <t>Indore</t>
        </is>
      </c>
      <c r="H36" s="7" t="n">
        <v>5.28</v>
      </c>
      <c r="I36" s="7" t="n">
        <v>5.2</v>
      </c>
      <c r="J36" s="7" t="n">
        <v>0.026</v>
      </c>
      <c r="K36" s="7" t="n">
        <v>0.068</v>
      </c>
      <c r="L36" s="7" t="inlineStr">
        <is>
          <t>0 (Current)</t>
        </is>
      </c>
      <c r="M36" s="7" t="inlineStr">
        <is>
          <t>0 (Current)</t>
        </is>
      </c>
      <c r="N36" s="7" t="n">
        <v>0</v>
      </c>
      <c r="O36" s="7" t="n">
        <v>0</v>
      </c>
    </row>
    <row r="37">
      <c r="A37" s="7" t="inlineStr">
        <is>
          <t>Stage 3</t>
        </is>
      </c>
      <c r="B37" s="7" t="inlineStr">
        <is>
          <t>Stage 3</t>
        </is>
      </c>
      <c r="C37" s="7" t="inlineStr">
        <is>
          <t>No change</t>
        </is>
      </c>
      <c r="D37" s="7" t="inlineStr">
        <is>
          <t>L0035</t>
        </is>
      </c>
      <c r="E37" s="7" t="inlineStr">
        <is>
          <t>Lal Fasteners</t>
        </is>
      </c>
      <c r="F37" s="7" t="inlineStr">
        <is>
          <t>Business Loan</t>
        </is>
      </c>
      <c r="G37" s="7" t="inlineStr">
        <is>
          <t>Nagpur</t>
        </is>
      </c>
      <c r="H37" s="7" t="n">
        <v>3.73</v>
      </c>
      <c r="I37" s="7" t="n">
        <v>3.62</v>
      </c>
      <c r="J37" s="7" t="n">
        <v>2.173</v>
      </c>
      <c r="K37" s="7" t="n">
        <v>1.736</v>
      </c>
      <c r="L37" s="7" t="inlineStr">
        <is>
          <t>120+</t>
        </is>
      </c>
      <c r="M37" s="7" t="inlineStr">
        <is>
          <t>120+</t>
        </is>
      </c>
      <c r="N37" s="7" t="n">
        <v>214</v>
      </c>
      <c r="O37" s="7" t="n">
        <v>214</v>
      </c>
    </row>
    <row r="38">
      <c r="A38" s="7" t="inlineStr">
        <is>
          <t>Stage 3</t>
        </is>
      </c>
      <c r="B38" s="7" t="inlineStr">
        <is>
          <t>Stage 3</t>
        </is>
      </c>
      <c r="C38" s="7" t="inlineStr">
        <is>
          <t>No change</t>
        </is>
      </c>
      <c r="D38" s="7" t="inlineStr">
        <is>
          <t>L0036</t>
        </is>
      </c>
      <c r="E38" s="7" t="inlineStr">
        <is>
          <t>Karthik Solar</t>
        </is>
      </c>
      <c r="F38" s="7" t="inlineStr">
        <is>
          <t>Working Capital</t>
        </is>
      </c>
      <c r="G38" s="7" t="inlineStr">
        <is>
          <t>Ahmedabad</t>
        </is>
      </c>
      <c r="H38" s="7" t="n">
        <v>3.87</v>
      </c>
      <c r="I38" s="7" t="n">
        <v>3.74</v>
      </c>
      <c r="J38" s="7" t="n">
        <v>2.328</v>
      </c>
      <c r="K38" s="7" t="n">
        <v>1.872</v>
      </c>
      <c r="L38" s="7" t="inlineStr">
        <is>
          <t>120+</t>
        </is>
      </c>
      <c r="M38" s="7" t="inlineStr">
        <is>
          <t>120+</t>
        </is>
      </c>
      <c r="N38" s="7" t="n">
        <v>227</v>
      </c>
      <c r="O38" s="7" t="n">
        <v>296</v>
      </c>
    </row>
    <row r="39">
      <c r="A39" s="7" t="inlineStr">
        <is>
          <t>Stage 1</t>
        </is>
      </c>
      <c r="B39" s="7" t="inlineStr">
        <is>
          <t>Stage 1</t>
        </is>
      </c>
      <c r="C39" s="7" t="inlineStr">
        <is>
          <t>No change</t>
        </is>
      </c>
      <c r="D39" s="7" t="inlineStr">
        <is>
          <t>L0037</t>
        </is>
      </c>
      <c r="E39" s="7" t="inlineStr">
        <is>
          <t>Prasad Mills</t>
        </is>
      </c>
      <c r="F39" s="7" t="inlineStr">
        <is>
          <t>LAP</t>
        </is>
      </c>
      <c r="G39" s="7" t="inlineStr">
        <is>
          <t>Indore</t>
        </is>
      </c>
      <c r="H39" s="7" t="n">
        <v>3.26</v>
      </c>
      <c r="I39" s="7" t="n">
        <v>3.16</v>
      </c>
      <c r="J39" s="7" t="n">
        <v>0.014</v>
      </c>
      <c r="K39" s="7" t="n">
        <v>0.017</v>
      </c>
      <c r="L39" s="7" t="inlineStr">
        <is>
          <t>0 (Current)</t>
        </is>
      </c>
      <c r="M39" s="7" t="inlineStr">
        <is>
          <t>0 (Current)</t>
        </is>
      </c>
      <c r="N39" s="7" t="n">
        <v>0</v>
      </c>
      <c r="O39" s="7" t="n">
        <v>0</v>
      </c>
    </row>
    <row r="40">
      <c r="A40" s="7" t="inlineStr">
        <is>
          <t>Stage 1</t>
        </is>
      </c>
      <c r="B40" s="7" t="inlineStr">
        <is>
          <t>Stage 1</t>
        </is>
      </c>
      <c r="C40" s="7" t="inlineStr">
        <is>
          <t>No change</t>
        </is>
      </c>
      <c r="D40" s="7" t="inlineStr">
        <is>
          <t>L0038</t>
        </is>
      </c>
      <c r="E40" s="7" t="inlineStr">
        <is>
          <t>Fernandes Spices</t>
        </is>
      </c>
      <c r="F40" s="7" t="inlineStr">
        <is>
          <t>LAP</t>
        </is>
      </c>
      <c r="G40" s="7" t="inlineStr">
        <is>
          <t>Mumbai</t>
        </is>
      </c>
      <c r="H40" s="7" t="n">
        <v>5.22</v>
      </c>
      <c r="I40" s="7" t="n">
        <v>5.08</v>
      </c>
      <c r="J40" s="7" t="n">
        <v>0.049</v>
      </c>
      <c r="K40" s="7" t="n">
        <v>0.038</v>
      </c>
      <c r="L40" s="7" t="inlineStr">
        <is>
          <t>0 (Current)</t>
        </is>
      </c>
      <c r="M40" s="7" t="inlineStr">
        <is>
          <t>0 (Current)</t>
        </is>
      </c>
      <c r="N40" s="7" t="n">
        <v>0</v>
      </c>
      <c r="O40" s="7" t="n">
        <v>0</v>
      </c>
    </row>
    <row r="41">
      <c r="A41" s="7" t="inlineStr">
        <is>
          <t>Stage 1</t>
        </is>
      </c>
      <c r="B41" s="7" t="inlineStr">
        <is>
          <t>Stage 1</t>
        </is>
      </c>
      <c r="C41" s="7" t="inlineStr">
        <is>
          <t>No change</t>
        </is>
      </c>
      <c r="D41" s="7" t="inlineStr">
        <is>
          <t>L0039</t>
        </is>
      </c>
      <c r="E41" s="7" t="inlineStr">
        <is>
          <t>Wadhwa Paints</t>
        </is>
      </c>
      <c r="F41" s="7" t="inlineStr">
        <is>
          <t>Working Capital</t>
        </is>
      </c>
      <c r="G41" s="7" t="inlineStr">
        <is>
          <t>Mumbai</t>
        </is>
      </c>
      <c r="H41" s="7" t="n">
        <v>1.53</v>
      </c>
      <c r="I41" s="7" t="n">
        <v>1.51</v>
      </c>
      <c r="J41" s="7" t="n">
        <v>0.02</v>
      </c>
      <c r="K41" s="7" t="n">
        <v>0.021</v>
      </c>
      <c r="L41" s="7" t="inlineStr">
        <is>
          <t>0 (Current)</t>
        </is>
      </c>
      <c r="M41" s="7" t="inlineStr">
        <is>
          <t>0 (Current)</t>
        </is>
      </c>
      <c r="N41" s="7" t="n">
        <v>0</v>
      </c>
      <c r="O41" s="7" t="n">
        <v>0</v>
      </c>
    </row>
    <row r="42">
      <c r="A42" s="7" t="inlineStr">
        <is>
          <t>Stage 1</t>
        </is>
      </c>
      <c r="B42" s="7" t="inlineStr">
        <is>
          <t>Stage 1</t>
        </is>
      </c>
      <c r="C42" s="7" t="inlineStr">
        <is>
          <t>No change</t>
        </is>
      </c>
      <c r="D42" s="7" t="inlineStr">
        <is>
          <t>L0040</t>
        </is>
      </c>
      <c r="E42" s="7" t="inlineStr">
        <is>
          <t>Roy Bearings</t>
        </is>
      </c>
      <c r="F42" s="7" t="inlineStr">
        <is>
          <t>Business Loan</t>
        </is>
      </c>
      <c r="G42" s="7" t="inlineStr">
        <is>
          <t>Indore</t>
        </is>
      </c>
      <c r="H42" s="7" t="n">
        <v>3.46</v>
      </c>
      <c r="I42" s="7" t="n">
        <v>3.4</v>
      </c>
      <c r="J42" s="7" t="n">
        <v>0.04</v>
      </c>
      <c r="K42" s="7" t="n">
        <v>0.028</v>
      </c>
      <c r="L42" s="7" t="inlineStr">
        <is>
          <t>0 (Current)</t>
        </is>
      </c>
      <c r="M42" s="7" t="inlineStr">
        <is>
          <t>0 (Current)</t>
        </is>
      </c>
      <c r="N42" s="7" t="n">
        <v>0</v>
      </c>
      <c r="O42" s="7" t="n">
        <v>0</v>
      </c>
    </row>
  </sheetData>
  <autoFilter ref="A5:O42"/>
  <hyperlinks>
    <hyperlink xmlns:r="http://schemas.openxmlformats.org/officeDocument/2006/relationships" ref="A2" r:id="rId1"/>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L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Product-wise Summary: Q3FY26 -&gt; Q4FY26</t>
        </is>
      </c>
    </row>
    <row r="2">
      <c r="A2" s="2" t="inlineStr">
        <is>
          <t>Every product line is shown in full below (no filter needed - see the Branch sheet for that).</t>
        </is>
      </c>
    </row>
    <row r="4">
      <c r="A4" s="48" t="inlineStr">
        <is>
          <t>Product</t>
        </is>
      </c>
      <c r="B4" s="48" t="inlineStr">
        <is>
          <t>Loans (Q3FY26)</t>
        </is>
      </c>
      <c r="C4" s="48" t="inlineStr">
        <is>
          <t>Loans (Q4FY26)</t>
        </is>
      </c>
      <c r="D4" s="48" t="inlineStr">
        <is>
          <t>Outstanding (Q3FY26)</t>
        </is>
      </c>
      <c r="E4" s="48" t="inlineStr">
        <is>
          <t>Outstanding (Q4FY26)</t>
        </is>
      </c>
      <c r="F4" s="48" t="inlineStr">
        <is>
          <t>Δ Outstanding</t>
        </is>
      </c>
      <c r="G4" s="48" t="inlineStr">
        <is>
          <t>Provision (Q3FY26)</t>
        </is>
      </c>
      <c r="H4" s="48" t="inlineStr">
        <is>
          <t>Provision (Q4FY26)</t>
        </is>
      </c>
      <c r="I4" s="48" t="inlineStr">
        <is>
          <t>Δ Provision</t>
        </is>
      </c>
      <c r="J4" s="48" t="inlineStr">
        <is>
          <t>Stage 3 Share % (Q3FY26)</t>
        </is>
      </c>
      <c r="K4" s="48" t="inlineStr">
        <is>
          <t>Stage 3 Share % (Q4FY26)</t>
        </is>
      </c>
      <c r="L4" s="48" t="inlineStr">
        <is>
          <t>Δ Stage 3 Share (pp)</t>
        </is>
      </c>
    </row>
    <row r="5">
      <c r="A5" s="7" t="inlineStr">
        <is>
          <t>LAP</t>
        </is>
      </c>
      <c r="B5" s="7" t="n">
        <v>12</v>
      </c>
      <c r="C5" s="7" t="n">
        <v>12</v>
      </c>
      <c r="D5" s="7" t="n">
        <v>38.26</v>
      </c>
      <c r="E5" s="7" t="n">
        <v>37.31</v>
      </c>
      <c r="F5" s="49">
        <f>E5-D5</f>
        <v/>
      </c>
      <c r="G5" s="7" t="n">
        <v>4.424</v>
      </c>
      <c r="H5" s="7" t="n">
        <v>5.104</v>
      </c>
      <c r="I5" s="50">
        <f>H5-G5</f>
        <v/>
      </c>
      <c r="J5" s="7" t="n">
        <v>13.41</v>
      </c>
      <c r="K5" s="7" t="n">
        <v>21.23</v>
      </c>
      <c r="L5" s="51">
        <f>K5-J5</f>
        <v/>
      </c>
    </row>
    <row r="6">
      <c r="A6" s="7" t="inlineStr">
        <is>
          <t>Business Loan</t>
        </is>
      </c>
      <c r="B6" s="7" t="n">
        <v>12</v>
      </c>
      <c r="C6" s="7" t="n">
        <v>12</v>
      </c>
      <c r="D6" s="7" t="n">
        <v>36</v>
      </c>
      <c r="E6" s="7" t="n">
        <v>35.1</v>
      </c>
      <c r="F6" s="49">
        <f>E6-D6</f>
        <v/>
      </c>
      <c r="G6" s="7" t="n">
        <v>6.865</v>
      </c>
      <c r="H6" s="7" t="n">
        <v>5.454</v>
      </c>
      <c r="I6" s="50">
        <f>H6-G6</f>
        <v/>
      </c>
      <c r="J6" s="7" t="n">
        <v>23.89</v>
      </c>
      <c r="K6" s="7" t="n">
        <v>23.93</v>
      </c>
      <c r="L6" s="51">
        <f>K6-J6</f>
        <v/>
      </c>
    </row>
    <row r="7">
      <c r="A7" s="7" t="inlineStr">
        <is>
          <t>Equipment Finance</t>
        </is>
      </c>
      <c r="B7" s="7" t="n">
        <v>7</v>
      </c>
      <c r="C7" s="7" t="n">
        <v>7</v>
      </c>
      <c r="D7" s="7" t="n">
        <v>29.85</v>
      </c>
      <c r="E7" s="7" t="n">
        <v>29.16</v>
      </c>
      <c r="F7" s="49">
        <f>E7-D7</f>
        <v/>
      </c>
      <c r="G7" s="7" t="n">
        <v>0.542</v>
      </c>
      <c r="H7" s="7" t="n">
        <v>1.432</v>
      </c>
      <c r="I7" s="50">
        <f>H7-G7</f>
        <v/>
      </c>
      <c r="J7" s="7" t="n">
        <v>0</v>
      </c>
      <c r="K7" s="7" t="n">
        <v>6.89</v>
      </c>
      <c r="L7" s="51">
        <f>K7-J7</f>
        <v/>
      </c>
    </row>
    <row r="8">
      <c r="A8" s="7" t="inlineStr">
        <is>
          <t>Working Capital</t>
        </is>
      </c>
      <c r="B8" s="7" t="n">
        <v>6</v>
      </c>
      <c r="C8" s="7" t="n">
        <v>6</v>
      </c>
      <c r="D8" s="7" t="n">
        <v>16.17</v>
      </c>
      <c r="E8" s="7" t="n">
        <v>15.79</v>
      </c>
      <c r="F8" s="49">
        <f>E8-D8</f>
        <v/>
      </c>
      <c r="G8" s="7" t="n">
        <v>3.361</v>
      </c>
      <c r="H8" s="7" t="n">
        <v>2.84</v>
      </c>
      <c r="I8" s="50">
        <f>H8-G8</f>
        <v/>
      </c>
      <c r="J8" s="7" t="n">
        <v>31.91</v>
      </c>
      <c r="K8" s="7" t="n">
        <v>31.86</v>
      </c>
      <c r="L8" s="52">
        <f>K8-J8</f>
        <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4" customWidth="1" min="3" max="3"/>
    <col width="18"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Branch-wise Detail (filterable): Q3FY26 -&gt; Q4FY26</t>
        </is>
      </c>
    </row>
    <row r="2">
      <c r="A2" s="2" t="inlineStr">
        <is>
          <t>This is a live Excel Table. Use the filter dropdown on Branch (or Product/Stage) to isolate any subset - the Total row updates automatically to the visible rows, and the table itself grows automatically if more rows are added directly beneath it.</t>
        </is>
      </c>
    </row>
    <row r="4">
      <c r="A4" s="48" t="inlineStr">
        <is>
          <t>LoanID</t>
        </is>
      </c>
      <c r="B4" s="48" t="inlineStr">
        <is>
          <t>CustomerName</t>
        </is>
      </c>
      <c r="C4" s="48" t="inlineStr">
        <is>
          <t>Branch</t>
        </is>
      </c>
      <c r="D4" s="48" t="inlineStr">
        <is>
          <t>Product</t>
        </is>
      </c>
      <c r="E4" s="48" t="inlineStr">
        <is>
          <t>Stage (Q3FY26)</t>
        </is>
      </c>
      <c r="F4" s="48" t="inlineStr">
        <is>
          <t>Stage (Q4FY26)</t>
        </is>
      </c>
      <c r="G4" s="48" t="inlineStr">
        <is>
          <t>Outstanding (Q3FY26)</t>
        </is>
      </c>
      <c r="H4" s="48" t="inlineStr">
        <is>
          <t>Outstanding (Q4FY26)</t>
        </is>
      </c>
      <c r="I4" s="48" t="inlineStr">
        <is>
          <t>Provision (Q3FY26)</t>
        </is>
      </c>
      <c r="J4" s="48" t="inlineStr">
        <is>
          <t>Provision (Q4FY26)</t>
        </is>
      </c>
    </row>
    <row r="5">
      <c r="A5" t="inlineStr">
        <is>
          <t>L0001</t>
        </is>
      </c>
      <c r="B5" t="inlineStr">
        <is>
          <t>Sharma Textiles</t>
        </is>
      </c>
      <c r="C5" t="inlineStr">
        <is>
          <t>Ahmedabad</t>
        </is>
      </c>
      <c r="D5" t="inlineStr">
        <is>
          <t>Business Loan</t>
        </is>
      </c>
      <c r="E5" t="inlineStr">
        <is>
          <t>Stage 1</t>
        </is>
      </c>
      <c r="F5" t="inlineStr">
        <is>
          <t>Stage 1</t>
        </is>
      </c>
      <c r="G5" s="53" t="n">
        <v>3.02</v>
      </c>
      <c r="H5" s="53" t="n">
        <v>3</v>
      </c>
      <c r="I5" s="54" t="n">
        <v>0.042</v>
      </c>
      <c r="J5" s="54" t="n">
        <v>0.024</v>
      </c>
    </row>
    <row r="6">
      <c r="A6" t="inlineStr">
        <is>
          <t>L0002</t>
        </is>
      </c>
      <c r="B6" t="inlineStr">
        <is>
          <t>Patel Engineering</t>
        </is>
      </c>
      <c r="C6" t="inlineStr">
        <is>
          <t>Indore</t>
        </is>
      </c>
      <c r="D6" t="inlineStr">
        <is>
          <t>Equipment Finance</t>
        </is>
      </c>
      <c r="E6" t="inlineStr">
        <is>
          <t>Stage 2</t>
        </is>
      </c>
      <c r="F6" t="inlineStr">
        <is>
          <t>Stage 3</t>
        </is>
      </c>
      <c r="G6" s="53" t="n">
        <v>2.03</v>
      </c>
      <c r="H6" s="53" t="n">
        <v>2.01</v>
      </c>
      <c r="I6" s="54" t="n">
        <v>0.342</v>
      </c>
      <c r="J6" s="54" t="n">
        <v>1.15</v>
      </c>
    </row>
    <row r="7">
      <c r="A7" t="inlineStr">
        <is>
          <t>L0003</t>
        </is>
      </c>
      <c r="B7" t="inlineStr">
        <is>
          <t>Verma Logistics</t>
        </is>
      </c>
      <c r="C7" t="inlineStr">
        <is>
          <t>Ahmedabad</t>
        </is>
      </c>
      <c r="D7" t="inlineStr">
        <is>
          <t>LAP</t>
        </is>
      </c>
      <c r="E7" t="inlineStr">
        <is>
          <t>Stage 2</t>
        </is>
      </c>
      <c r="F7" t="inlineStr">
        <is>
          <t>Stage 3</t>
        </is>
      </c>
      <c r="G7" s="53" t="n">
        <v>3</v>
      </c>
      <c r="H7" s="53" t="n">
        <v>2.94</v>
      </c>
      <c r="I7" s="54" t="n">
        <v>0.585</v>
      </c>
      <c r="J7" s="54" t="n">
        <v>1.866</v>
      </c>
    </row>
    <row r="8">
      <c r="A8" t="inlineStr">
        <is>
          <t>L0004</t>
        </is>
      </c>
      <c r="B8" t="inlineStr">
        <is>
          <t>Iyer Foods</t>
        </is>
      </c>
      <c r="C8" t="inlineStr">
        <is>
          <t>Pune</t>
        </is>
      </c>
      <c r="D8" t="inlineStr">
        <is>
          <t>LAP</t>
        </is>
      </c>
      <c r="E8" t="inlineStr">
        <is>
          <t>Stage 1</t>
        </is>
      </c>
      <c r="F8" t="inlineStr">
        <is>
          <t>Stage 1</t>
        </is>
      </c>
      <c r="G8" s="53" t="n">
        <v>0.79</v>
      </c>
      <c r="H8" s="53" t="n">
        <v>0.77</v>
      </c>
      <c r="I8" s="54" t="n">
        <v>0.008</v>
      </c>
      <c r="J8" s="54" t="n">
        <v>0.008</v>
      </c>
    </row>
    <row r="9">
      <c r="A9" t="inlineStr">
        <is>
          <t>L0005</t>
        </is>
      </c>
      <c r="B9" t="inlineStr">
        <is>
          <t>Nair Constructions</t>
        </is>
      </c>
      <c r="C9" t="inlineStr">
        <is>
          <t>Mumbai</t>
        </is>
      </c>
      <c r="D9" t="inlineStr">
        <is>
          <t>LAP</t>
        </is>
      </c>
      <c r="E9" t="inlineStr">
        <is>
          <t>Stage 3</t>
        </is>
      </c>
      <c r="F9" t="inlineStr">
        <is>
          <t>Stage 3</t>
        </is>
      </c>
      <c r="G9" s="53" t="n">
        <v>5.13</v>
      </c>
      <c r="H9" s="53" t="n">
        <v>4.98</v>
      </c>
      <c r="I9" s="54" t="n">
        <v>3.089</v>
      </c>
      <c r="J9" s="54" t="n">
        <v>2.482</v>
      </c>
    </row>
    <row r="10">
      <c r="A10" t="inlineStr">
        <is>
          <t>L0006</t>
        </is>
      </c>
      <c r="B10" t="inlineStr">
        <is>
          <t>Reddy Agro</t>
        </is>
      </c>
      <c r="C10" t="inlineStr">
        <is>
          <t>Pune</t>
        </is>
      </c>
      <c r="D10" t="inlineStr">
        <is>
          <t>Equipment Finance</t>
        </is>
      </c>
      <c r="E10" t="inlineStr">
        <is>
          <t>Stage 1</t>
        </is>
      </c>
      <c r="F10" t="inlineStr">
        <is>
          <t>Stage 1</t>
        </is>
      </c>
      <c r="G10" s="53" t="n">
        <v>5.65</v>
      </c>
      <c r="H10" s="53" t="n">
        <v>5.38</v>
      </c>
      <c r="I10" s="54" t="n">
        <v>0.049</v>
      </c>
      <c r="J10" s="54" t="n">
        <v>0.031</v>
      </c>
    </row>
    <row r="11">
      <c r="A11" t="inlineStr">
        <is>
          <t>L0008</t>
        </is>
      </c>
      <c r="B11" t="inlineStr">
        <is>
          <t>Desai Pharma</t>
        </is>
      </c>
      <c r="C11" t="inlineStr">
        <is>
          <t>Indore</t>
        </is>
      </c>
      <c r="D11" t="inlineStr">
        <is>
          <t>Business Loan</t>
        </is>
      </c>
      <c r="E11" t="inlineStr">
        <is>
          <t>Stage 3</t>
        </is>
      </c>
      <c r="F11" t="inlineStr">
        <is>
          <t>Stage 3</t>
        </is>
      </c>
      <c r="G11" s="53" t="n">
        <v>2.18</v>
      </c>
      <c r="H11" s="53" t="n">
        <v>2.15</v>
      </c>
      <c r="I11" s="54" t="n">
        <v>1.525</v>
      </c>
      <c r="J11" s="54" t="n">
        <v>1.512</v>
      </c>
    </row>
    <row r="12">
      <c r="A12" t="inlineStr">
        <is>
          <t>L0009</t>
        </is>
      </c>
      <c r="B12" t="inlineStr">
        <is>
          <t>Bose Electricals</t>
        </is>
      </c>
      <c r="C12" t="inlineStr">
        <is>
          <t>Ahmedabad</t>
        </is>
      </c>
      <c r="D12" t="inlineStr">
        <is>
          <t>Equipment Finance</t>
        </is>
      </c>
      <c r="E12" t="inlineStr">
        <is>
          <t>Stage 1</t>
        </is>
      </c>
      <c r="F12" t="inlineStr">
        <is>
          <t>Stage 1</t>
        </is>
      </c>
      <c r="G12" s="53" t="n">
        <v>4.14</v>
      </c>
      <c r="H12" s="53" t="n">
        <v>4.1</v>
      </c>
      <c r="I12" s="54" t="n">
        <v>0.031</v>
      </c>
      <c r="J12" s="54" t="n">
        <v>0.042</v>
      </c>
    </row>
    <row r="13">
      <c r="A13" t="inlineStr">
        <is>
          <t>L0010</t>
        </is>
      </c>
      <c r="B13" t="inlineStr">
        <is>
          <t>Menon Traders</t>
        </is>
      </c>
      <c r="C13" t="inlineStr">
        <is>
          <t>Pune</t>
        </is>
      </c>
      <c r="D13" t="inlineStr">
        <is>
          <t>Business Loan</t>
        </is>
      </c>
      <c r="E13" t="inlineStr">
        <is>
          <t>Stage 2</t>
        </is>
      </c>
      <c r="F13" t="inlineStr">
        <is>
          <t>Stage 2</t>
        </is>
      </c>
      <c r="G13" s="53" t="n">
        <v>1.98</v>
      </c>
      <c r="H13" s="53" t="n">
        <v>1.92</v>
      </c>
      <c r="I13" s="54" t="n">
        <v>0.26</v>
      </c>
      <c r="J13" s="54" t="n">
        <v>0.339</v>
      </c>
    </row>
    <row r="14">
      <c r="A14" t="inlineStr">
        <is>
          <t>L0011</t>
        </is>
      </c>
      <c r="B14" t="inlineStr">
        <is>
          <t>Joshi Auto Parts</t>
        </is>
      </c>
      <c r="C14" t="inlineStr">
        <is>
          <t>Ahmedabad</t>
        </is>
      </c>
      <c r="D14" t="inlineStr">
        <is>
          <t>Working Capital</t>
        </is>
      </c>
      <c r="E14" t="inlineStr">
        <is>
          <t>Stage 1</t>
        </is>
      </c>
      <c r="F14" t="inlineStr">
        <is>
          <t>Stage 1</t>
        </is>
      </c>
      <c r="G14" s="53" t="n">
        <v>3.35</v>
      </c>
      <c r="H14" s="53" t="n">
        <v>3.28</v>
      </c>
      <c r="I14" s="54" t="n">
        <v>0.036</v>
      </c>
      <c r="J14" s="54" t="n">
        <v>0.031</v>
      </c>
    </row>
    <row r="15">
      <c r="A15" t="inlineStr">
        <is>
          <t>L0012</t>
        </is>
      </c>
      <c r="B15" t="inlineStr">
        <is>
          <t>Gupta Packaging</t>
        </is>
      </c>
      <c r="C15" t="inlineStr">
        <is>
          <t>Ahmedabad</t>
        </is>
      </c>
      <c r="D15" t="inlineStr">
        <is>
          <t>Working Capital</t>
        </is>
      </c>
      <c r="E15" t="inlineStr">
        <is>
          <t>Stage 1</t>
        </is>
      </c>
      <c r="F15" t="inlineStr">
        <is>
          <t>Stage 1</t>
        </is>
      </c>
      <c r="G15" s="53" t="n">
        <v>2.55</v>
      </c>
      <c r="H15" s="53" t="n">
        <v>2.45</v>
      </c>
      <c r="I15" s="54" t="n">
        <v>0.031</v>
      </c>
      <c r="J15" s="54" t="n">
        <v>0.013</v>
      </c>
    </row>
    <row r="16">
      <c r="A16" t="inlineStr">
        <is>
          <t>L0013</t>
        </is>
      </c>
      <c r="B16" t="inlineStr">
        <is>
          <t>Rao Chemicals</t>
        </is>
      </c>
      <c r="C16" t="inlineStr">
        <is>
          <t>Ahmedabad</t>
        </is>
      </c>
      <c r="D16" t="inlineStr">
        <is>
          <t>Equipment Finance</t>
        </is>
      </c>
      <c r="E16" t="inlineStr">
        <is>
          <t>Stage 1</t>
        </is>
      </c>
      <c r="F16" t="inlineStr">
        <is>
          <t>Stage 1</t>
        </is>
      </c>
      <c r="G16" s="53" t="n">
        <v>4.47</v>
      </c>
      <c r="H16" s="53" t="n">
        <v>4.32</v>
      </c>
      <c r="I16" s="54" t="n">
        <v>0.049</v>
      </c>
      <c r="J16" s="54" t="n">
        <v>0.04</v>
      </c>
    </row>
    <row r="17">
      <c r="A17" t="inlineStr">
        <is>
          <t>L0014</t>
        </is>
      </c>
      <c r="B17" t="inlineStr">
        <is>
          <t>Shetty Hospitality</t>
        </is>
      </c>
      <c r="C17" t="inlineStr">
        <is>
          <t>Ahmedabad</t>
        </is>
      </c>
      <c r="D17" t="inlineStr">
        <is>
          <t>Equipment Finance</t>
        </is>
      </c>
      <c r="E17" t="inlineStr">
        <is>
          <t>Stage 1</t>
        </is>
      </c>
      <c r="F17" t="inlineStr">
        <is>
          <t>Stage 1</t>
        </is>
      </c>
      <c r="G17" s="53" t="n">
        <v>5.39</v>
      </c>
      <c r="H17" s="53" t="n">
        <v>5.27</v>
      </c>
      <c r="I17" s="54" t="n">
        <v>0.025</v>
      </c>
      <c r="J17" s="54" t="n">
        <v>0.073</v>
      </c>
    </row>
    <row r="18">
      <c r="A18" t="inlineStr">
        <is>
          <t>L0015</t>
        </is>
      </c>
      <c r="B18" t="inlineStr">
        <is>
          <t>Pillai Marine</t>
        </is>
      </c>
      <c r="C18" t="inlineStr">
        <is>
          <t>Indore</t>
        </is>
      </c>
      <c r="D18" t="inlineStr">
        <is>
          <t>LAP</t>
        </is>
      </c>
      <c r="E18" t="inlineStr">
        <is>
          <t>Stage 2</t>
        </is>
      </c>
      <c r="F18" t="inlineStr">
        <is>
          <t>Stage 2</t>
        </is>
      </c>
      <c r="G18" s="53" t="n">
        <v>5.05</v>
      </c>
      <c r="H18" s="53" t="n">
        <v>4.94</v>
      </c>
      <c r="I18" s="54" t="n">
        <v>0.463</v>
      </c>
      <c r="J18" s="54" t="n">
        <v>0.542</v>
      </c>
    </row>
    <row r="19">
      <c r="A19" t="inlineStr">
        <is>
          <t>L0016</t>
        </is>
      </c>
      <c r="B19" t="inlineStr">
        <is>
          <t>Chauhan Motors</t>
        </is>
      </c>
      <c r="C19" t="inlineStr">
        <is>
          <t>Mumbai</t>
        </is>
      </c>
      <c r="D19" t="inlineStr">
        <is>
          <t>Working Capital</t>
        </is>
      </c>
      <c r="E19" t="inlineStr">
        <is>
          <t>Stage 1</t>
        </is>
      </c>
      <c r="F19" t="inlineStr">
        <is>
          <t>Stage 1</t>
        </is>
      </c>
      <c r="G19" s="53" t="n">
        <v>3.58</v>
      </c>
      <c r="H19" s="53" t="n">
        <v>3.52</v>
      </c>
      <c r="I19" s="54" t="n">
        <v>0.044</v>
      </c>
      <c r="J19" s="54" t="n">
        <v>0.039</v>
      </c>
    </row>
    <row r="20">
      <c r="A20" t="inlineStr">
        <is>
          <t>L0017</t>
        </is>
      </c>
      <c r="B20" t="inlineStr">
        <is>
          <t>Bhatt Ceramics</t>
        </is>
      </c>
      <c r="C20" t="inlineStr">
        <is>
          <t>Mumbai</t>
        </is>
      </c>
      <c r="D20" t="inlineStr">
        <is>
          <t>LAP</t>
        </is>
      </c>
      <c r="E20" t="inlineStr">
        <is>
          <t>Stage 1</t>
        </is>
      </c>
      <c r="F20" t="inlineStr">
        <is>
          <t>Stage 1</t>
        </is>
      </c>
      <c r="G20" s="53" t="n">
        <v>1.15</v>
      </c>
      <c r="H20" s="53" t="n">
        <v>1.15</v>
      </c>
      <c r="I20" s="54" t="n">
        <v>0.008999999999999999</v>
      </c>
      <c r="J20" s="54" t="n">
        <v>0.008999999999999999</v>
      </c>
    </row>
    <row r="21">
      <c r="A21" t="inlineStr">
        <is>
          <t>L0018</t>
        </is>
      </c>
      <c r="B21" t="inlineStr">
        <is>
          <t>Sinha Plastics</t>
        </is>
      </c>
      <c r="C21" t="inlineStr">
        <is>
          <t>Indore</t>
        </is>
      </c>
      <c r="D21" t="inlineStr">
        <is>
          <t>Business Loan</t>
        </is>
      </c>
      <c r="E21" t="inlineStr">
        <is>
          <t>Stage 2</t>
        </is>
      </c>
      <c r="F21" t="inlineStr">
        <is>
          <t>Stage 1</t>
        </is>
      </c>
      <c r="G21" s="53" t="n">
        <v>5.29</v>
      </c>
      <c r="H21" s="53" t="n">
        <v>5.16</v>
      </c>
      <c r="I21" s="54" t="n">
        <v>1.147</v>
      </c>
      <c r="J21" s="54" t="n">
        <v>0.025</v>
      </c>
    </row>
    <row r="22">
      <c r="A22" t="inlineStr">
        <is>
          <t>L0019</t>
        </is>
      </c>
      <c r="B22" t="inlineStr">
        <is>
          <t>Kapoor Garments</t>
        </is>
      </c>
      <c r="C22" t="inlineStr">
        <is>
          <t>Nagpur</t>
        </is>
      </c>
      <c r="D22" t="inlineStr">
        <is>
          <t>Business Loan</t>
        </is>
      </c>
      <c r="E22" t="inlineStr">
        <is>
          <t>Stage 1</t>
        </is>
      </c>
      <c r="F22" t="inlineStr">
        <is>
          <t>Stage 1</t>
        </is>
      </c>
      <c r="G22" s="53" t="n">
        <v>0.43</v>
      </c>
      <c r="H22" s="53" t="n">
        <v>0.42</v>
      </c>
      <c r="I22" s="54" t="n">
        <v>0.002</v>
      </c>
      <c r="J22" s="54" t="n">
        <v>0.006</v>
      </c>
    </row>
    <row r="23">
      <c r="A23" t="inlineStr">
        <is>
          <t>L0020</t>
        </is>
      </c>
      <c r="B23" t="inlineStr">
        <is>
          <t>Mehta Hardware</t>
        </is>
      </c>
      <c r="C23" t="inlineStr">
        <is>
          <t>Ahmedabad</t>
        </is>
      </c>
      <c r="D23" t="inlineStr">
        <is>
          <t>Business Loan</t>
        </is>
      </c>
      <c r="E23" t="inlineStr">
        <is>
          <t>Stage 3</t>
        </is>
      </c>
      <c r="F23" t="inlineStr">
        <is>
          <t>Stage 3</t>
        </is>
      </c>
      <c r="G23" s="53" t="n">
        <v>1.9</v>
      </c>
      <c r="H23" s="53" t="n">
        <v>1.86</v>
      </c>
      <c r="I23" s="54" t="n">
        <v>1.028</v>
      </c>
      <c r="J23" s="54" t="n">
        <v>0.843</v>
      </c>
    </row>
    <row r="24">
      <c r="A24" t="inlineStr">
        <is>
          <t>L0022</t>
        </is>
      </c>
      <c r="B24" t="inlineStr">
        <is>
          <t>Dutta Printers</t>
        </is>
      </c>
      <c r="C24" t="inlineStr">
        <is>
          <t>Indore</t>
        </is>
      </c>
      <c r="D24" t="inlineStr">
        <is>
          <t>LAP</t>
        </is>
      </c>
      <c r="E24" t="inlineStr">
        <is>
          <t>Stage 1</t>
        </is>
      </c>
      <c r="F24" t="inlineStr">
        <is>
          <t>Stage 1</t>
        </is>
      </c>
      <c r="G24" s="53" t="n">
        <v>3.91</v>
      </c>
      <c r="H24" s="53" t="n">
        <v>3.77</v>
      </c>
      <c r="I24" s="54" t="n">
        <v>0.052</v>
      </c>
      <c r="J24" s="54" t="n">
        <v>0.041</v>
      </c>
    </row>
    <row r="25">
      <c r="A25" t="inlineStr">
        <is>
          <t>L0023</t>
        </is>
      </c>
      <c r="B25" t="inlineStr">
        <is>
          <t>Sethi Furniture</t>
        </is>
      </c>
      <c r="C25" t="inlineStr">
        <is>
          <t>Mumbai</t>
        </is>
      </c>
      <c r="D25" t="inlineStr">
        <is>
          <t>Equipment Finance</t>
        </is>
      </c>
      <c r="E25" t="inlineStr">
        <is>
          <t>Stage 1</t>
        </is>
      </c>
      <c r="F25" t="inlineStr">
        <is>
          <t>Stage 1</t>
        </is>
      </c>
      <c r="G25" s="53" t="n">
        <v>2.89</v>
      </c>
      <c r="H25" s="53" t="n">
        <v>2.88</v>
      </c>
      <c r="I25" s="54" t="n">
        <v>0.02</v>
      </c>
      <c r="J25" s="54" t="n">
        <v>0.028</v>
      </c>
    </row>
    <row r="26">
      <c r="A26" t="inlineStr">
        <is>
          <t>L0024</t>
        </is>
      </c>
      <c r="B26" t="inlineStr">
        <is>
          <t>Bansal Wires</t>
        </is>
      </c>
      <c r="C26" t="inlineStr">
        <is>
          <t>Pune</t>
        </is>
      </c>
      <c r="D26" t="inlineStr">
        <is>
          <t>Business Loan</t>
        </is>
      </c>
      <c r="E26" t="inlineStr">
        <is>
          <t>Stage 3</t>
        </is>
      </c>
      <c r="F26" t="inlineStr">
        <is>
          <t>Stage 3</t>
        </is>
      </c>
      <c r="G26" s="53" t="n">
        <v>0.79</v>
      </c>
      <c r="H26" s="53" t="n">
        <v>0.77</v>
      </c>
      <c r="I26" s="54" t="n">
        <v>0.531</v>
      </c>
      <c r="J26" s="54" t="n">
        <v>0.403</v>
      </c>
    </row>
    <row r="27">
      <c r="A27" t="inlineStr">
        <is>
          <t>L0025</t>
        </is>
      </c>
      <c r="B27" t="inlineStr">
        <is>
          <t>Thakur Transport</t>
        </is>
      </c>
      <c r="C27" t="inlineStr">
        <is>
          <t>Pune</t>
        </is>
      </c>
      <c r="D27" t="inlineStr">
        <is>
          <t>LAP</t>
        </is>
      </c>
      <c r="E27" t="inlineStr">
        <is>
          <t>Stage 2</t>
        </is>
      </c>
      <c r="F27" t="inlineStr">
        <is>
          <t>Stage 1</t>
        </is>
      </c>
      <c r="G27" s="53" t="n">
        <v>0.37</v>
      </c>
      <c r="H27" s="53" t="n">
        <v>0.37</v>
      </c>
      <c r="I27" s="54" t="n">
        <v>0.059</v>
      </c>
      <c r="J27" s="54" t="n">
        <v>0.003</v>
      </c>
    </row>
    <row r="28">
      <c r="A28" t="inlineStr">
        <is>
          <t>L0026</t>
        </is>
      </c>
      <c r="B28" t="inlineStr">
        <is>
          <t>Ghosh Seafoods</t>
        </is>
      </c>
      <c r="C28" t="inlineStr">
        <is>
          <t>Ahmedabad</t>
        </is>
      </c>
      <c r="D28" t="inlineStr">
        <is>
          <t>LAP</t>
        </is>
      </c>
      <c r="E28" t="inlineStr">
        <is>
          <t>Stage 1</t>
        </is>
      </c>
      <c r="F28" t="inlineStr">
        <is>
          <t>Stage 1</t>
        </is>
      </c>
      <c r="G28" s="53" t="n">
        <v>3.51</v>
      </c>
      <c r="H28" s="53" t="n">
        <v>3.48</v>
      </c>
      <c r="I28" s="54" t="n">
        <v>0.045</v>
      </c>
      <c r="J28" s="54" t="n">
        <v>0.04</v>
      </c>
    </row>
    <row r="29">
      <c r="A29" t="inlineStr">
        <is>
          <t>L0027</t>
        </is>
      </c>
      <c r="B29" t="inlineStr">
        <is>
          <t>Malhotra Tools</t>
        </is>
      </c>
      <c r="C29" t="inlineStr">
        <is>
          <t>Indore</t>
        </is>
      </c>
      <c r="D29" t="inlineStr">
        <is>
          <t>Business Loan</t>
        </is>
      </c>
      <c r="E29" t="inlineStr">
        <is>
          <t>Stage 1</t>
        </is>
      </c>
      <c r="F29" t="inlineStr">
        <is>
          <t>Stage 2</t>
        </is>
      </c>
      <c r="G29" s="53" t="n">
        <v>2.93</v>
      </c>
      <c r="H29" s="53" t="n">
        <v>2.85</v>
      </c>
      <c r="I29" s="54" t="n">
        <v>0.022</v>
      </c>
      <c r="J29" s="54" t="n">
        <v>0.464</v>
      </c>
    </row>
    <row r="30">
      <c r="A30" t="inlineStr">
        <is>
          <t>L0028</t>
        </is>
      </c>
      <c r="B30" t="inlineStr">
        <is>
          <t>Naidu Poultry</t>
        </is>
      </c>
      <c r="C30" t="inlineStr">
        <is>
          <t>Ahmedabad</t>
        </is>
      </c>
      <c r="D30" t="inlineStr">
        <is>
          <t>LAP</t>
        </is>
      </c>
      <c r="E30" t="inlineStr">
        <is>
          <t>Stage 1</t>
        </is>
      </c>
      <c r="F30" t="inlineStr">
        <is>
          <t>Stage 1</t>
        </is>
      </c>
      <c r="G30" s="53" t="n">
        <v>3.52</v>
      </c>
      <c r="H30" s="53" t="n">
        <v>3.39</v>
      </c>
      <c r="I30" s="54" t="n">
        <v>0.021</v>
      </c>
      <c r="J30" s="54" t="n">
        <v>0.039</v>
      </c>
    </row>
    <row r="31">
      <c r="A31" t="inlineStr">
        <is>
          <t>L0029</t>
        </is>
      </c>
      <c r="B31" t="inlineStr">
        <is>
          <t>Chopra Interiors</t>
        </is>
      </c>
      <c r="C31" t="inlineStr">
        <is>
          <t>Nagpur</t>
        </is>
      </c>
      <c r="D31" t="inlineStr">
        <is>
          <t>LAP</t>
        </is>
      </c>
      <c r="E31" t="inlineStr">
        <is>
          <t>Stage 1</t>
        </is>
      </c>
      <c r="F31" t="inlineStr">
        <is>
          <t>Stage 1</t>
        </is>
      </c>
      <c r="G31" s="53" t="n">
        <v>3.35</v>
      </c>
      <c r="H31" s="53" t="n">
        <v>3.28</v>
      </c>
      <c r="I31" s="54" t="n">
        <v>0.03</v>
      </c>
      <c r="J31" s="54" t="n">
        <v>0.019</v>
      </c>
    </row>
    <row r="32">
      <c r="A32" t="inlineStr">
        <is>
          <t>L0030</t>
        </is>
      </c>
      <c r="B32" t="inlineStr">
        <is>
          <t>Saxena Cables</t>
        </is>
      </c>
      <c r="C32" t="inlineStr">
        <is>
          <t>Ahmedabad</t>
        </is>
      </c>
      <c r="D32" t="inlineStr">
        <is>
          <t>Business Loan</t>
        </is>
      </c>
      <c r="E32" t="inlineStr">
        <is>
          <t>Stage 1</t>
        </is>
      </c>
      <c r="F32" t="inlineStr">
        <is>
          <t>Stage 1</t>
        </is>
      </c>
      <c r="G32" s="53" t="n">
        <v>5.09</v>
      </c>
      <c r="H32" s="53" t="n">
        <v>4.92</v>
      </c>
      <c r="I32" s="54" t="n">
        <v>0.038</v>
      </c>
      <c r="J32" s="54" t="n">
        <v>0.031</v>
      </c>
    </row>
    <row r="33">
      <c r="A33" t="inlineStr">
        <is>
          <t>L0031</t>
        </is>
      </c>
      <c r="B33" t="inlineStr">
        <is>
          <t>Deshmukh Dairy</t>
        </is>
      </c>
      <c r="C33" t="inlineStr">
        <is>
          <t>Mumbai</t>
        </is>
      </c>
      <c r="D33" t="inlineStr">
        <is>
          <t>Business Loan</t>
        </is>
      </c>
      <c r="E33" t="inlineStr">
        <is>
          <t>Stage 1</t>
        </is>
      </c>
      <c r="F33" t="inlineStr">
        <is>
          <t>Stage 1</t>
        </is>
      </c>
      <c r="G33" s="53" t="n">
        <v>5.2</v>
      </c>
      <c r="H33" s="53" t="n">
        <v>5.03</v>
      </c>
      <c r="I33" s="54" t="n">
        <v>0.057</v>
      </c>
      <c r="J33" s="54" t="n">
        <v>0.043</v>
      </c>
    </row>
    <row r="34">
      <c r="A34" t="inlineStr">
        <is>
          <t>L0032</t>
        </is>
      </c>
      <c r="B34" t="inlineStr">
        <is>
          <t>Ahuja Footwear</t>
        </is>
      </c>
      <c r="C34" t="inlineStr">
        <is>
          <t>Indore</t>
        </is>
      </c>
      <c r="D34" t="inlineStr">
        <is>
          <t>Working Capital</t>
        </is>
      </c>
      <c r="E34" t="inlineStr">
        <is>
          <t>Stage 3</t>
        </is>
      </c>
      <c r="F34" t="inlineStr">
        <is>
          <t>Stage 3</t>
        </is>
      </c>
      <c r="G34" s="53" t="n">
        <v>1.29</v>
      </c>
      <c r="H34" s="53" t="n">
        <v>1.29</v>
      </c>
      <c r="I34" s="54" t="n">
        <v>0.902</v>
      </c>
      <c r="J34" s="54" t="n">
        <v>0.864</v>
      </c>
    </row>
    <row r="35">
      <c r="A35" t="inlineStr">
        <is>
          <t>L0033</t>
        </is>
      </c>
      <c r="B35" t="inlineStr">
        <is>
          <t>Trivedi Tiles</t>
        </is>
      </c>
      <c r="C35" t="inlineStr">
        <is>
          <t>Indore</t>
        </is>
      </c>
      <c r="D35" t="inlineStr">
        <is>
          <t>Equipment Finance</t>
        </is>
      </c>
      <c r="E35" t="inlineStr">
        <is>
          <t>Stage 1</t>
        </is>
      </c>
      <c r="F35" t="inlineStr">
        <is>
          <t>Stage 1</t>
        </is>
      </c>
      <c r="G35" s="53" t="n">
        <v>5.28</v>
      </c>
      <c r="H35" s="53" t="n">
        <v>5.2</v>
      </c>
      <c r="I35" s="54" t="n">
        <v>0.026</v>
      </c>
      <c r="J35" s="54" t="n">
        <v>0.068</v>
      </c>
    </row>
    <row r="36">
      <c r="A36" t="inlineStr">
        <is>
          <t>L0035</t>
        </is>
      </c>
      <c r="B36" t="inlineStr">
        <is>
          <t>Lal Fasteners</t>
        </is>
      </c>
      <c r="C36" t="inlineStr">
        <is>
          <t>Nagpur</t>
        </is>
      </c>
      <c r="D36" t="inlineStr">
        <is>
          <t>Business Loan</t>
        </is>
      </c>
      <c r="E36" t="inlineStr">
        <is>
          <t>Stage 3</t>
        </is>
      </c>
      <c r="F36" t="inlineStr">
        <is>
          <t>Stage 3</t>
        </is>
      </c>
      <c r="G36" s="53" t="n">
        <v>3.73</v>
      </c>
      <c r="H36" s="53" t="n">
        <v>3.62</v>
      </c>
      <c r="I36" s="54" t="n">
        <v>2.173</v>
      </c>
      <c r="J36" s="54" t="n">
        <v>1.736</v>
      </c>
    </row>
    <row r="37">
      <c r="A37" t="inlineStr">
        <is>
          <t>L0036</t>
        </is>
      </c>
      <c r="B37" t="inlineStr">
        <is>
          <t>Karthik Solar</t>
        </is>
      </c>
      <c r="C37" t="inlineStr">
        <is>
          <t>Ahmedabad</t>
        </is>
      </c>
      <c r="D37" t="inlineStr">
        <is>
          <t>Working Capital</t>
        </is>
      </c>
      <c r="E37" t="inlineStr">
        <is>
          <t>Stage 3</t>
        </is>
      </c>
      <c r="F37" t="inlineStr">
        <is>
          <t>Stage 3</t>
        </is>
      </c>
      <c r="G37" s="53" t="n">
        <v>3.87</v>
      </c>
      <c r="H37" s="53" t="n">
        <v>3.74</v>
      </c>
      <c r="I37" s="54" t="n">
        <v>2.328</v>
      </c>
      <c r="J37" s="54" t="n">
        <v>1.872</v>
      </c>
    </row>
    <row r="38">
      <c r="A38" t="inlineStr">
        <is>
          <t>L0037</t>
        </is>
      </c>
      <c r="B38" t="inlineStr">
        <is>
          <t>Prasad Mills</t>
        </is>
      </c>
      <c r="C38" t="inlineStr">
        <is>
          <t>Indore</t>
        </is>
      </c>
      <c r="D38" t="inlineStr">
        <is>
          <t>LAP</t>
        </is>
      </c>
      <c r="E38" t="inlineStr">
        <is>
          <t>Stage 1</t>
        </is>
      </c>
      <c r="F38" t="inlineStr">
        <is>
          <t>Stage 1</t>
        </is>
      </c>
      <c r="G38" s="53" t="n">
        <v>3.26</v>
      </c>
      <c r="H38" s="53" t="n">
        <v>3.16</v>
      </c>
      <c r="I38" s="54" t="n">
        <v>0.014</v>
      </c>
      <c r="J38" s="54" t="n">
        <v>0.017</v>
      </c>
    </row>
    <row r="39">
      <c r="A39" t="inlineStr">
        <is>
          <t>L0038</t>
        </is>
      </c>
      <c r="B39" t="inlineStr">
        <is>
          <t>Fernandes Spices</t>
        </is>
      </c>
      <c r="C39" t="inlineStr">
        <is>
          <t>Mumbai</t>
        </is>
      </c>
      <c r="D39" t="inlineStr">
        <is>
          <t>LAP</t>
        </is>
      </c>
      <c r="E39" t="inlineStr">
        <is>
          <t>Stage 1</t>
        </is>
      </c>
      <c r="F39" t="inlineStr">
        <is>
          <t>Stage 1</t>
        </is>
      </c>
      <c r="G39" s="53" t="n">
        <v>5.22</v>
      </c>
      <c r="H39" s="53" t="n">
        <v>5.08</v>
      </c>
      <c r="I39" s="54" t="n">
        <v>0.049</v>
      </c>
      <c r="J39" s="54" t="n">
        <v>0.038</v>
      </c>
    </row>
    <row r="40">
      <c r="A40" t="inlineStr">
        <is>
          <t>L0039</t>
        </is>
      </c>
      <c r="B40" t="inlineStr">
        <is>
          <t>Wadhwa Paints</t>
        </is>
      </c>
      <c r="C40" t="inlineStr">
        <is>
          <t>Mumbai</t>
        </is>
      </c>
      <c r="D40" t="inlineStr">
        <is>
          <t>Working Capital</t>
        </is>
      </c>
      <c r="E40" t="inlineStr">
        <is>
          <t>Stage 1</t>
        </is>
      </c>
      <c r="F40" t="inlineStr">
        <is>
          <t>Stage 1</t>
        </is>
      </c>
      <c r="G40" s="53" t="n">
        <v>1.53</v>
      </c>
      <c r="H40" s="53" t="n">
        <v>1.51</v>
      </c>
      <c r="I40" s="54" t="n">
        <v>0.02</v>
      </c>
      <c r="J40" s="54" t="n">
        <v>0.021</v>
      </c>
    </row>
    <row r="41">
      <c r="A41" t="inlineStr">
        <is>
          <t>L0040</t>
        </is>
      </c>
      <c r="B41" t="inlineStr">
        <is>
          <t>Roy Bearings</t>
        </is>
      </c>
      <c r="C41" t="inlineStr">
        <is>
          <t>Indore</t>
        </is>
      </c>
      <c r="D41" t="inlineStr">
        <is>
          <t>Business Loan</t>
        </is>
      </c>
      <c r="E41" t="inlineStr">
        <is>
          <t>Stage 1</t>
        </is>
      </c>
      <c r="F41" t="inlineStr">
        <is>
          <t>Stage 1</t>
        </is>
      </c>
      <c r="G41" s="53" t="n">
        <v>3.46</v>
      </c>
      <c r="H41" s="53" t="n">
        <v>3.4</v>
      </c>
      <c r="I41" s="54" t="n">
        <v>0.04</v>
      </c>
      <c r="J41" s="54" t="n">
        <v>0.028</v>
      </c>
    </row>
    <row r="42">
      <c r="A42" s="17" t="inlineStr">
        <is>
          <t>Total</t>
        </is>
      </c>
      <c r="G42" s="55">
        <f>SUBTOTAL(109,G5:G41)</f>
        <v/>
      </c>
      <c r="H42" s="55">
        <f>SUBTOTAL(109,H5:H41)</f>
        <v/>
      </c>
      <c r="I42" s="56">
        <f>SUBTOTAL(109,I5:I41)</f>
        <v/>
      </c>
      <c r="J42" s="56">
        <f>SUBTOTAL(109,J5:J41)</f>
        <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1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Ind AS 107 para 35H — Loss Allowance Reconciliation: Q3FY26 → Q4FY26</t>
        </is>
      </c>
    </row>
    <row r="2">
      <c r="A2" s="2" t="inlineStr">
        <is>
          <t>Movement in ECL by category. Mapping used: 12-month ECL = Stage 1, Lifetime ECL (not credit-impaired) = Stage 2, Lifetime ECL (credit-impaired) = Stage 3 — verify this mapping against your Board-approved SICR policy.</t>
        </is>
      </c>
    </row>
    <row r="4">
      <c r="A4" s="4" t="inlineStr">
        <is>
          <t>Movement</t>
        </is>
      </c>
      <c r="B4" s="4" t="inlineStr">
        <is>
          <t>Stage 1</t>
        </is>
      </c>
      <c r="C4" s="4" t="inlineStr">
        <is>
          <t>Stage 2</t>
        </is>
      </c>
      <c r="D4" s="4" t="inlineStr">
        <is>
          <t>Stage 3</t>
        </is>
      </c>
      <c r="E4" s="4" t="inlineStr">
        <is>
          <t>Total</t>
        </is>
      </c>
    </row>
    <row r="5">
      <c r="A5" s="7" t="inlineStr">
        <is>
          <t>Opening balance</t>
        </is>
      </c>
      <c r="B5" s="7" t="n">
        <v>0.76</v>
      </c>
      <c r="C5" s="7" t="n">
        <v>2.856</v>
      </c>
      <c r="D5" s="7" t="n">
        <v>11.576</v>
      </c>
      <c r="E5" s="7">
        <f>SUM(B5:D5)</f>
        <v/>
      </c>
    </row>
    <row r="6">
      <c r="A6" s="7" t="inlineStr">
        <is>
          <t>New assets originated</t>
        </is>
      </c>
      <c r="B6" s="7" t="n">
        <v>0</v>
      </c>
      <c r="C6" s="7" t="n">
        <v>0</v>
      </c>
      <c r="D6" s="7" t="n">
        <v>0</v>
      </c>
      <c r="E6" s="7">
        <f>SUM(B6:D6)</f>
        <v/>
      </c>
    </row>
    <row r="7">
      <c r="A7" s="7" t="inlineStr">
        <is>
          <t>Amounts written off</t>
        </is>
      </c>
      <c r="B7" s="7" t="n">
        <v>-0</v>
      </c>
      <c r="C7" s="7" t="n">
        <v>-0</v>
      </c>
      <c r="D7" s="7" t="n">
        <v>-0</v>
      </c>
      <c r="E7" s="7">
        <f>SUM(B7:D7)</f>
        <v/>
      </c>
    </row>
    <row r="8">
      <c r="A8" s="7" t="inlineStr">
        <is>
          <t>Assets derecognised / repaid</t>
        </is>
      </c>
      <c r="B8" s="7" t="n">
        <v>-0</v>
      </c>
      <c r="C8" s="7" t="n">
        <v>-0</v>
      </c>
      <c r="D8" s="7" t="n">
        <v>-0</v>
      </c>
      <c r="E8" s="7">
        <f>SUM(B8:D8)</f>
        <v/>
      </c>
    </row>
    <row r="9">
      <c r="A9" s="7" t="inlineStr">
        <is>
          <t>Transferred out to other stage</t>
        </is>
      </c>
      <c r="B9" s="7" t="n">
        <v>-0.022</v>
      </c>
      <c r="C9" s="7" t="n">
        <v>-2.133</v>
      </c>
      <c r="D9" s="7" t="n">
        <v>-0</v>
      </c>
      <c r="E9" s="7">
        <f>SUM(B9:D9)</f>
        <v/>
      </c>
    </row>
    <row r="10">
      <c r="A10" s="7" t="inlineStr">
        <is>
          <t>Transferred in from other stage</t>
        </is>
      </c>
      <c r="B10" s="7" t="n">
        <v>0.028</v>
      </c>
      <c r="C10" s="7" t="n">
        <v>0.464</v>
      </c>
      <c r="D10" s="7" t="n">
        <v>3.016</v>
      </c>
      <c r="E10" s="7">
        <f>SUM(B10:D10)</f>
        <v/>
      </c>
    </row>
    <row r="11">
      <c r="A11" s="7" t="inlineStr">
        <is>
          <t>Net remeasurement (no stage change)</t>
        </is>
      </c>
      <c r="B11" s="7" t="n">
        <v>-0.008999999999999999</v>
      </c>
      <c r="C11" s="7" t="n">
        <v>0.158</v>
      </c>
      <c r="D11" s="7" t="n">
        <v>-1.864</v>
      </c>
      <c r="E11" s="7">
        <f>SUM(B11:D11)</f>
        <v/>
      </c>
    </row>
    <row r="12">
      <c r="A12" s="38" t="inlineStr">
        <is>
          <t>Closing balance</t>
        </is>
      </c>
      <c r="B12" s="7" t="n">
        <v>0.757</v>
      </c>
      <c r="C12" s="7" t="n">
        <v>1.345</v>
      </c>
      <c r="D12" s="7" t="n">
        <v>12.728</v>
      </c>
      <c r="E12" s="7">
        <f>SUM(B12:D12)</f>
        <v/>
      </c>
    </row>
  </sheetData>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N4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40" customWidth="1" min="14" max="14"/>
  </cols>
  <sheetData>
    <row r="1">
      <c r="A1" s="1" t="inlineStr">
        <is>
          <t>IRACP Loan-level Working — Q4FY26</t>
        </is>
      </c>
    </row>
    <row r="2">
      <c r="A2" s="2" t="inlineStr">
        <is>
          <t>Unsecured_Cr and the Provision column are live formulas (click any cell to see them) - change Outstanding_Cr or Secured_Cr and the provision recalculates automatically. Standard/Sub-standard/Loss rows carry their full outstanding under 'Unsecured_Cr' at their flat rate (Secured_Cr = 0) so one formula pattern works for every category.</t>
        </is>
      </c>
    </row>
    <row r="4">
      <c r="A4" s="48" t="inlineStr">
        <is>
          <t>LoanID</t>
        </is>
      </c>
      <c r="B4" s="48" t="inlineStr">
        <is>
          <t>CustomerName</t>
        </is>
      </c>
      <c r="C4" s="48" t="inlineStr">
        <is>
          <t>Ind AS 109 Stage</t>
        </is>
      </c>
      <c r="D4" s="48" t="inlineStr">
        <is>
          <t>DPD</t>
        </is>
      </c>
      <c r="E4" s="48" t="inlineStr">
        <is>
          <t>IRACP_Category</t>
        </is>
      </c>
      <c r="F4" s="48" t="inlineStr">
        <is>
          <t>Outstanding_Cr</t>
        </is>
      </c>
      <c r="G4" s="48" t="inlineStr">
        <is>
          <t>Secured_Cr</t>
        </is>
      </c>
      <c r="H4" s="48" t="inlineStr">
        <is>
          <t>Unsecured_Cr</t>
        </is>
      </c>
      <c r="I4" s="48" t="inlineStr">
        <is>
          <t>Rate_Secured_pct</t>
        </is>
      </c>
      <c r="J4" s="48" t="inlineStr">
        <is>
          <t>Rate_Unsecured_pct</t>
        </is>
      </c>
      <c r="K4" s="48" t="inlineStr">
        <is>
          <t>IRACP Provision (Rs. Cr)</t>
        </is>
      </c>
      <c r="L4" s="48" t="inlineStr">
        <is>
          <t>Ind AS 109 ECL (Rs. Cr)</t>
        </is>
      </c>
      <c r="M4" s="48" t="inlineStr">
        <is>
          <t>Security_Basis</t>
        </is>
      </c>
      <c r="N4" s="48" t="inlineStr">
        <is>
          <t>Basis (rule applied)</t>
        </is>
      </c>
    </row>
    <row r="5">
      <c r="A5" s="7" t="inlineStr">
        <is>
          <t>L0001</t>
        </is>
      </c>
      <c r="B5" s="7" t="inlineStr">
        <is>
          <t>Sharma Textiles</t>
        </is>
      </c>
      <c r="C5" s="7" t="inlineStr">
        <is>
          <t>Stage 1</t>
        </is>
      </c>
      <c r="D5" s="7" t="n">
        <v>0</v>
      </c>
      <c r="E5" s="7" t="inlineStr">
        <is>
          <t>Standard</t>
        </is>
      </c>
      <c r="F5" s="57" t="n">
        <v>3</v>
      </c>
      <c r="G5" s="57" t="n">
        <v>0</v>
      </c>
      <c r="H5" s="57">
        <f>F5-G5</f>
        <v/>
      </c>
      <c r="I5" s="58" t="n">
        <v>0</v>
      </c>
      <c r="J5" s="58" t="n">
        <v>0.004</v>
      </c>
      <c r="K5" s="57">
        <f>G5*I5+H5*J5</f>
        <v/>
      </c>
      <c r="L5" s="57" t="n">
        <v>0.024</v>
      </c>
      <c r="M5" s="7" t="inlineStr">
        <is>
          <t>n/a</t>
        </is>
      </c>
      <c r="N5" s="7" t="inlineStr">
        <is>
          <t>Standard asset, NBFC-ML - 0.40% flat [para 55]</t>
        </is>
      </c>
    </row>
    <row r="6">
      <c r="A6" s="7" t="inlineStr">
        <is>
          <t>L0002</t>
        </is>
      </c>
      <c r="B6" s="7" t="inlineStr">
        <is>
          <t>Patel Engineering</t>
        </is>
      </c>
      <c r="C6" s="7" t="inlineStr">
        <is>
          <t>Stage 3</t>
        </is>
      </c>
      <c r="D6" s="7" t="n">
        <v>186</v>
      </c>
      <c r="E6" s="7" t="inlineStr">
        <is>
          <t>Sub-standard</t>
        </is>
      </c>
      <c r="F6" s="57" t="n">
        <v>2.01</v>
      </c>
      <c r="G6" s="57" t="n">
        <v>0</v>
      </c>
      <c r="H6" s="57">
        <f>F6-G6</f>
        <v/>
      </c>
      <c r="I6" s="58" t="n">
        <v>0</v>
      </c>
      <c r="J6" s="58" t="n">
        <v>0.1</v>
      </c>
      <c r="K6" s="57">
        <f>G6*I6+H6*J6</f>
        <v/>
      </c>
      <c r="L6" s="57" t="n">
        <v>1.15</v>
      </c>
      <c r="M6" s="7" t="inlineStr">
        <is>
          <t>n/a</t>
        </is>
      </c>
      <c r="N6" s="7" t="inlineStr">
        <is>
          <t>Sub-standard - 10% of total outstanding [para 32(1)]</t>
        </is>
      </c>
    </row>
    <row r="7">
      <c r="A7" s="7" t="inlineStr">
        <is>
          <t>L0003</t>
        </is>
      </c>
      <c r="B7" s="7" t="inlineStr">
        <is>
          <t>Verma Logistics</t>
        </is>
      </c>
      <c r="C7" s="7" t="inlineStr">
        <is>
          <t>Stage 3</t>
        </is>
      </c>
      <c r="D7" s="7" t="n">
        <v>94</v>
      </c>
      <c r="E7" s="7" t="inlineStr">
        <is>
          <t>Sub-standard</t>
        </is>
      </c>
      <c r="F7" s="57" t="n">
        <v>2.94</v>
      </c>
      <c r="G7" s="57" t="n">
        <v>0</v>
      </c>
      <c r="H7" s="57">
        <f>F7-G7</f>
        <v/>
      </c>
      <c r="I7" s="58" t="n">
        <v>0</v>
      </c>
      <c r="J7" s="58" t="n">
        <v>0.1</v>
      </c>
      <c r="K7" s="57">
        <f>G7*I7+H7*J7</f>
        <v/>
      </c>
      <c r="L7" s="57" t="n">
        <v>1.866</v>
      </c>
      <c r="M7" s="7" t="inlineStr">
        <is>
          <t>n/a</t>
        </is>
      </c>
      <c r="N7" s="7" t="inlineStr">
        <is>
          <t>Sub-standard - 10% of total outstanding [para 32(1)]</t>
        </is>
      </c>
    </row>
    <row r="8">
      <c r="A8" s="7" t="inlineStr">
        <is>
          <t>L0004</t>
        </is>
      </c>
      <c r="B8" s="7" t="inlineStr">
        <is>
          <t>Iyer Foods</t>
        </is>
      </c>
      <c r="C8" s="7" t="inlineStr">
        <is>
          <t>Stage 1</t>
        </is>
      </c>
      <c r="D8" s="7" t="n">
        <v>0</v>
      </c>
      <c r="E8" s="7" t="inlineStr">
        <is>
          <t>Standard</t>
        </is>
      </c>
      <c r="F8" s="57" t="n">
        <v>0.77</v>
      </c>
      <c r="G8" s="57" t="n">
        <v>0</v>
      </c>
      <c r="H8" s="57">
        <f>F8-G8</f>
        <v/>
      </c>
      <c r="I8" s="58" t="n">
        <v>0</v>
      </c>
      <c r="J8" s="58" t="n">
        <v>0.004</v>
      </c>
      <c r="K8" s="57">
        <f>G8*I8+H8*J8</f>
        <v/>
      </c>
      <c r="L8" s="57" t="n">
        <v>0.008</v>
      </c>
      <c r="M8" s="7" t="inlineStr">
        <is>
          <t>n/a</t>
        </is>
      </c>
      <c r="N8" s="7" t="inlineStr">
        <is>
          <t>Standard asset, NBFC-ML - 0.40% flat [para 55]</t>
        </is>
      </c>
    </row>
    <row r="9">
      <c r="A9" s="7" t="inlineStr">
        <is>
          <t>L0005</t>
        </is>
      </c>
      <c r="B9" s="7" t="inlineStr">
        <is>
          <t>Nair Constructions</t>
        </is>
      </c>
      <c r="C9" s="7" t="inlineStr">
        <is>
          <t>Stage 3</t>
        </is>
      </c>
      <c r="D9" s="7" t="n">
        <v>163</v>
      </c>
      <c r="E9" s="7" t="inlineStr">
        <is>
          <t>Sub-standard</t>
        </is>
      </c>
      <c r="F9" s="57" t="n">
        <v>4.98</v>
      </c>
      <c r="G9" s="57" t="n">
        <v>0</v>
      </c>
      <c r="H9" s="57">
        <f>F9-G9</f>
        <v/>
      </c>
      <c r="I9" s="58" t="n">
        <v>0</v>
      </c>
      <c r="J9" s="58" t="n">
        <v>0.1</v>
      </c>
      <c r="K9" s="57">
        <f>G9*I9+H9*J9</f>
        <v/>
      </c>
      <c r="L9" s="57" t="n">
        <v>2.482</v>
      </c>
      <c r="M9" s="7" t="inlineStr">
        <is>
          <t>n/a</t>
        </is>
      </c>
      <c r="N9" s="7" t="inlineStr">
        <is>
          <t>Sub-standard - 10% of total outstanding [para 32(1)]</t>
        </is>
      </c>
    </row>
    <row r="10">
      <c r="A10" s="7" t="inlineStr">
        <is>
          <t>L0006</t>
        </is>
      </c>
      <c r="B10" s="7" t="inlineStr">
        <is>
          <t>Reddy Agro</t>
        </is>
      </c>
      <c r="C10" s="7" t="inlineStr">
        <is>
          <t>Stage 1</t>
        </is>
      </c>
      <c r="D10" s="7" t="n">
        <v>20</v>
      </c>
      <c r="E10" s="7" t="inlineStr">
        <is>
          <t>Standard</t>
        </is>
      </c>
      <c r="F10" s="57" t="n">
        <v>5.38</v>
      </c>
      <c r="G10" s="57" t="n">
        <v>0</v>
      </c>
      <c r="H10" s="57">
        <f>F10-G10</f>
        <v/>
      </c>
      <c r="I10" s="58" t="n">
        <v>0</v>
      </c>
      <c r="J10" s="58" t="n">
        <v>0.004</v>
      </c>
      <c r="K10" s="57">
        <f>G10*I10+H10*J10</f>
        <v/>
      </c>
      <c r="L10" s="57" t="n">
        <v>0.031</v>
      </c>
      <c r="M10" s="7" t="inlineStr">
        <is>
          <t>n/a</t>
        </is>
      </c>
      <c r="N10" s="7" t="inlineStr">
        <is>
          <t>Standard asset, NBFC-ML - 0.40% flat [para 55]</t>
        </is>
      </c>
    </row>
    <row r="11">
      <c r="A11" s="7" t="inlineStr">
        <is>
          <t>L0008</t>
        </is>
      </c>
      <c r="B11" s="7" t="inlineStr">
        <is>
          <t>Desai Pharma</t>
        </is>
      </c>
      <c r="C11" s="7" t="inlineStr">
        <is>
          <t>Stage 3</t>
        </is>
      </c>
      <c r="D11" s="7" t="n">
        <v>133</v>
      </c>
      <c r="E11" s="7" t="inlineStr">
        <is>
          <t>Sub-standard</t>
        </is>
      </c>
      <c r="F11" s="57" t="n">
        <v>2.15</v>
      </c>
      <c r="G11" s="57" t="n">
        <v>0</v>
      </c>
      <c r="H11" s="57">
        <f>F11-G11</f>
        <v/>
      </c>
      <c r="I11" s="58" t="n">
        <v>0</v>
      </c>
      <c r="J11" s="58" t="n">
        <v>0.1</v>
      </c>
      <c r="K11" s="57">
        <f>G11*I11+H11*J11</f>
        <v/>
      </c>
      <c r="L11" s="57" t="n">
        <v>1.512</v>
      </c>
      <c r="M11" s="7" t="inlineStr">
        <is>
          <t>n/a</t>
        </is>
      </c>
      <c r="N11" s="7" t="inlineStr">
        <is>
          <t>Sub-standard - 10% of total outstanding [para 32(1)]</t>
        </is>
      </c>
    </row>
    <row r="12">
      <c r="A12" s="7" t="inlineStr">
        <is>
          <t>L0009</t>
        </is>
      </c>
      <c r="B12" s="7" t="inlineStr">
        <is>
          <t>Bose Electricals</t>
        </is>
      </c>
      <c r="C12" s="7" t="inlineStr">
        <is>
          <t>Stage 1</t>
        </is>
      </c>
      <c r="D12" s="7" t="n">
        <v>3</v>
      </c>
      <c r="E12" s="7" t="inlineStr">
        <is>
          <t>Standard</t>
        </is>
      </c>
      <c r="F12" s="57" t="n">
        <v>4.1</v>
      </c>
      <c r="G12" s="57" t="n">
        <v>0</v>
      </c>
      <c r="H12" s="57">
        <f>F12-G12</f>
        <v/>
      </c>
      <c r="I12" s="58" t="n">
        <v>0</v>
      </c>
      <c r="J12" s="58" t="n">
        <v>0.004</v>
      </c>
      <c r="K12" s="57">
        <f>G12*I12+H12*J12</f>
        <v/>
      </c>
      <c r="L12" s="57" t="n">
        <v>0.042</v>
      </c>
      <c r="M12" s="7" t="inlineStr">
        <is>
          <t>n/a</t>
        </is>
      </c>
      <c r="N12" s="7" t="inlineStr">
        <is>
          <t>Standard asset, NBFC-ML - 0.40% flat [para 55]</t>
        </is>
      </c>
    </row>
    <row r="13">
      <c r="A13" s="7" t="inlineStr">
        <is>
          <t>L0010</t>
        </is>
      </c>
      <c r="B13" s="7" t="inlineStr">
        <is>
          <t>Menon Traders</t>
        </is>
      </c>
      <c r="C13" s="7" t="inlineStr">
        <is>
          <t>Stage 2</t>
        </is>
      </c>
      <c r="D13" s="7" t="n">
        <v>87</v>
      </c>
      <c r="E13" s="7" t="inlineStr">
        <is>
          <t>Standard</t>
        </is>
      </c>
      <c r="F13" s="57" t="n">
        <v>1.92</v>
      </c>
      <c r="G13" s="57" t="n">
        <v>0</v>
      </c>
      <c r="H13" s="57">
        <f>F13-G13</f>
        <v/>
      </c>
      <c r="I13" s="58" t="n">
        <v>0</v>
      </c>
      <c r="J13" s="58" t="n">
        <v>0.004</v>
      </c>
      <c r="K13" s="57">
        <f>G13*I13+H13*J13</f>
        <v/>
      </c>
      <c r="L13" s="57" t="n">
        <v>0.339</v>
      </c>
      <c r="M13" s="7" t="inlineStr">
        <is>
          <t>n/a</t>
        </is>
      </c>
      <c r="N13" s="7" t="inlineStr">
        <is>
          <t>Standard asset, NBFC-ML - 0.40% flat [para 55]</t>
        </is>
      </c>
    </row>
    <row r="14">
      <c r="A14" s="7" t="inlineStr">
        <is>
          <t>L0011</t>
        </is>
      </c>
      <c r="B14" s="7" t="inlineStr">
        <is>
          <t>Joshi Auto Parts</t>
        </is>
      </c>
      <c r="C14" s="7" t="inlineStr">
        <is>
          <t>Stage 1</t>
        </is>
      </c>
      <c r="D14" s="7" t="n">
        <v>0</v>
      </c>
      <c r="E14" s="7" t="inlineStr">
        <is>
          <t>Standard</t>
        </is>
      </c>
      <c r="F14" s="57" t="n">
        <v>3.28</v>
      </c>
      <c r="G14" s="57" t="n">
        <v>0</v>
      </c>
      <c r="H14" s="57">
        <f>F14-G14</f>
        <v/>
      </c>
      <c r="I14" s="58" t="n">
        <v>0</v>
      </c>
      <c r="J14" s="58" t="n">
        <v>0.004</v>
      </c>
      <c r="K14" s="57">
        <f>G14*I14+H14*J14</f>
        <v/>
      </c>
      <c r="L14" s="57" t="n">
        <v>0.031</v>
      </c>
      <c r="M14" s="7" t="inlineStr">
        <is>
          <t>n/a</t>
        </is>
      </c>
      <c r="N14" s="7" t="inlineStr">
        <is>
          <t>Standard asset, NBFC-ML - 0.40% flat [para 55]</t>
        </is>
      </c>
    </row>
    <row r="15">
      <c r="A15" s="7" t="inlineStr">
        <is>
          <t>L0012</t>
        </is>
      </c>
      <c r="B15" s="7" t="inlineStr">
        <is>
          <t>Gupta Packaging</t>
        </is>
      </c>
      <c r="C15" s="7" t="inlineStr">
        <is>
          <t>Stage 1</t>
        </is>
      </c>
      <c r="D15" s="7" t="n">
        <v>0</v>
      </c>
      <c r="E15" s="7" t="inlineStr">
        <is>
          <t>Standard</t>
        </is>
      </c>
      <c r="F15" s="57" t="n">
        <v>2.45</v>
      </c>
      <c r="G15" s="57" t="n">
        <v>0</v>
      </c>
      <c r="H15" s="57">
        <f>F15-G15</f>
        <v/>
      </c>
      <c r="I15" s="58" t="n">
        <v>0</v>
      </c>
      <c r="J15" s="58" t="n">
        <v>0.004</v>
      </c>
      <c r="K15" s="57">
        <f>G15*I15+H15*J15</f>
        <v/>
      </c>
      <c r="L15" s="57" t="n">
        <v>0.013</v>
      </c>
      <c r="M15" s="7" t="inlineStr">
        <is>
          <t>n/a</t>
        </is>
      </c>
      <c r="N15" s="7" t="inlineStr">
        <is>
          <t>Standard asset, NBFC-ML - 0.40% flat [para 55]</t>
        </is>
      </c>
    </row>
    <row r="16">
      <c r="A16" s="7" t="inlineStr">
        <is>
          <t>L0013</t>
        </is>
      </c>
      <c r="B16" s="7" t="inlineStr">
        <is>
          <t>Rao Chemicals</t>
        </is>
      </c>
      <c r="C16" s="7" t="inlineStr">
        <is>
          <t>Stage 1</t>
        </is>
      </c>
      <c r="D16" s="7" t="n">
        <v>0</v>
      </c>
      <c r="E16" s="7" t="inlineStr">
        <is>
          <t>Standard</t>
        </is>
      </c>
      <c r="F16" s="57" t="n">
        <v>4.32</v>
      </c>
      <c r="G16" s="57" t="n">
        <v>0</v>
      </c>
      <c r="H16" s="57">
        <f>F16-G16</f>
        <v/>
      </c>
      <c r="I16" s="58" t="n">
        <v>0</v>
      </c>
      <c r="J16" s="58" t="n">
        <v>0.004</v>
      </c>
      <c r="K16" s="57">
        <f>G16*I16+H16*J16</f>
        <v/>
      </c>
      <c r="L16" s="57" t="n">
        <v>0.04</v>
      </c>
      <c r="M16" s="7" t="inlineStr">
        <is>
          <t>n/a</t>
        </is>
      </c>
      <c r="N16" s="7" t="inlineStr">
        <is>
          <t>Standard asset, NBFC-ML - 0.40% flat [para 55]</t>
        </is>
      </c>
    </row>
    <row r="17">
      <c r="A17" s="7" t="inlineStr">
        <is>
          <t>L0014</t>
        </is>
      </c>
      <c r="B17" s="7" t="inlineStr">
        <is>
          <t>Shetty Hospitality</t>
        </is>
      </c>
      <c r="C17" s="7" t="inlineStr">
        <is>
          <t>Stage 1</t>
        </is>
      </c>
      <c r="D17" s="7" t="n">
        <v>0</v>
      </c>
      <c r="E17" s="7" t="inlineStr">
        <is>
          <t>Standard</t>
        </is>
      </c>
      <c r="F17" s="57" t="n">
        <v>5.27</v>
      </c>
      <c r="G17" s="57" t="n">
        <v>0</v>
      </c>
      <c r="H17" s="57">
        <f>F17-G17</f>
        <v/>
      </c>
      <c r="I17" s="58" t="n">
        <v>0</v>
      </c>
      <c r="J17" s="58" t="n">
        <v>0.004</v>
      </c>
      <c r="K17" s="57">
        <f>G17*I17+H17*J17</f>
        <v/>
      </c>
      <c r="L17" s="57" t="n">
        <v>0.073</v>
      </c>
      <c r="M17" s="7" t="inlineStr">
        <is>
          <t>n/a</t>
        </is>
      </c>
      <c r="N17" s="7" t="inlineStr">
        <is>
          <t>Standard asset, NBFC-ML - 0.40% flat [para 55]</t>
        </is>
      </c>
    </row>
    <row r="18">
      <c r="A18" s="7" t="inlineStr">
        <is>
          <t>L0015</t>
        </is>
      </c>
      <c r="B18" s="7" t="inlineStr">
        <is>
          <t>Pillai Marine</t>
        </is>
      </c>
      <c r="C18" s="7" t="inlineStr">
        <is>
          <t>Stage 2</t>
        </is>
      </c>
      <c r="D18" s="7" t="n">
        <v>56</v>
      </c>
      <c r="E18" s="7" t="inlineStr">
        <is>
          <t>Standard</t>
        </is>
      </c>
      <c r="F18" s="57" t="n">
        <v>4.94</v>
      </c>
      <c r="G18" s="57" t="n">
        <v>0</v>
      </c>
      <c r="H18" s="57">
        <f>F18-G18</f>
        <v/>
      </c>
      <c r="I18" s="58" t="n">
        <v>0</v>
      </c>
      <c r="J18" s="58" t="n">
        <v>0.004</v>
      </c>
      <c r="K18" s="57">
        <f>G18*I18+H18*J18</f>
        <v/>
      </c>
      <c r="L18" s="57" t="n">
        <v>0.542</v>
      </c>
      <c r="M18" s="7" t="inlineStr">
        <is>
          <t>n/a</t>
        </is>
      </c>
      <c r="N18" s="7" t="inlineStr">
        <is>
          <t>Standard asset, NBFC-ML - 0.40% flat [para 55]</t>
        </is>
      </c>
    </row>
    <row r="19">
      <c r="A19" s="7" t="inlineStr">
        <is>
          <t>L0016</t>
        </is>
      </c>
      <c r="B19" s="7" t="inlineStr">
        <is>
          <t>Chauhan Motors</t>
        </is>
      </c>
      <c r="C19" s="7" t="inlineStr">
        <is>
          <t>Stage 1</t>
        </is>
      </c>
      <c r="D19" s="7" t="n">
        <v>0</v>
      </c>
      <c r="E19" s="7" t="inlineStr">
        <is>
          <t>Standard</t>
        </is>
      </c>
      <c r="F19" s="57" t="n">
        <v>3.52</v>
      </c>
      <c r="G19" s="57" t="n">
        <v>0</v>
      </c>
      <c r="H19" s="57">
        <f>F19-G19</f>
        <v/>
      </c>
      <c r="I19" s="58" t="n">
        <v>0</v>
      </c>
      <c r="J19" s="58" t="n">
        <v>0.004</v>
      </c>
      <c r="K19" s="57">
        <f>G19*I19+H19*J19</f>
        <v/>
      </c>
      <c r="L19" s="57" t="n">
        <v>0.039</v>
      </c>
      <c r="M19" s="7" t="inlineStr">
        <is>
          <t>n/a</t>
        </is>
      </c>
      <c r="N19" s="7" t="inlineStr">
        <is>
          <t>Standard asset, NBFC-ML - 0.40% flat [para 55]</t>
        </is>
      </c>
    </row>
    <row r="20">
      <c r="A20" s="7" t="inlineStr">
        <is>
          <t>L0017</t>
        </is>
      </c>
      <c r="B20" s="7" t="inlineStr">
        <is>
          <t>Bhatt Ceramics</t>
        </is>
      </c>
      <c r="C20" s="7" t="inlineStr">
        <is>
          <t>Stage 1</t>
        </is>
      </c>
      <c r="D20" s="7" t="n">
        <v>28</v>
      </c>
      <c r="E20" s="7" t="inlineStr">
        <is>
          <t>Standard</t>
        </is>
      </c>
      <c r="F20" s="57" t="n">
        <v>1.15</v>
      </c>
      <c r="G20" s="57" t="n">
        <v>0</v>
      </c>
      <c r="H20" s="57">
        <f>F20-G20</f>
        <v/>
      </c>
      <c r="I20" s="58" t="n">
        <v>0</v>
      </c>
      <c r="J20" s="58" t="n">
        <v>0.004</v>
      </c>
      <c r="K20" s="57">
        <f>G20*I20+H20*J20</f>
        <v/>
      </c>
      <c r="L20" s="57" t="n">
        <v>0.008999999999999999</v>
      </c>
      <c r="M20" s="7" t="inlineStr">
        <is>
          <t>n/a</t>
        </is>
      </c>
      <c r="N20" s="7" t="inlineStr">
        <is>
          <t>Standard asset, NBFC-ML - 0.40% flat [para 55]</t>
        </is>
      </c>
    </row>
    <row r="21">
      <c r="A21" s="7" t="inlineStr">
        <is>
          <t>L0018</t>
        </is>
      </c>
      <c r="B21" s="7" t="inlineStr">
        <is>
          <t>Sinha Plastics</t>
        </is>
      </c>
      <c r="C21" s="7" t="inlineStr">
        <is>
          <t>Stage 1</t>
        </is>
      </c>
      <c r="D21" s="7" t="n">
        <v>13</v>
      </c>
      <c r="E21" s="7" t="inlineStr">
        <is>
          <t>Standard</t>
        </is>
      </c>
      <c r="F21" s="57" t="n">
        <v>5.16</v>
      </c>
      <c r="G21" s="57" t="n">
        <v>0</v>
      </c>
      <c r="H21" s="57">
        <f>F21-G21</f>
        <v/>
      </c>
      <c r="I21" s="58" t="n">
        <v>0</v>
      </c>
      <c r="J21" s="58" t="n">
        <v>0.004</v>
      </c>
      <c r="K21" s="57">
        <f>G21*I21+H21*J21</f>
        <v/>
      </c>
      <c r="L21" s="57" t="n">
        <v>0.025</v>
      </c>
      <c r="M21" s="7" t="inlineStr">
        <is>
          <t>n/a</t>
        </is>
      </c>
      <c r="N21" s="7" t="inlineStr">
        <is>
          <t>Standard asset, NBFC-ML - 0.40% flat [para 55]</t>
        </is>
      </c>
    </row>
    <row r="22">
      <c r="A22" s="7" t="inlineStr">
        <is>
          <t>L0019</t>
        </is>
      </c>
      <c r="B22" s="7" t="inlineStr">
        <is>
          <t>Kapoor Garments</t>
        </is>
      </c>
      <c r="C22" s="7" t="inlineStr">
        <is>
          <t>Stage 1</t>
        </is>
      </c>
      <c r="D22" s="7" t="n">
        <v>0</v>
      </c>
      <c r="E22" s="7" t="inlineStr">
        <is>
          <t>Standard</t>
        </is>
      </c>
      <c r="F22" s="57" t="n">
        <v>0.42</v>
      </c>
      <c r="G22" s="57" t="n">
        <v>0</v>
      </c>
      <c r="H22" s="57">
        <f>F22-G22</f>
        <v/>
      </c>
      <c r="I22" s="58" t="n">
        <v>0</v>
      </c>
      <c r="J22" s="58" t="n">
        <v>0.004</v>
      </c>
      <c r="K22" s="57">
        <f>G22*I22+H22*J22</f>
        <v/>
      </c>
      <c r="L22" s="57" t="n">
        <v>0.006</v>
      </c>
      <c r="M22" s="7" t="inlineStr">
        <is>
          <t>n/a</t>
        </is>
      </c>
      <c r="N22" s="7" t="inlineStr">
        <is>
          <t>Standard asset, NBFC-ML - 0.40% flat [para 55]</t>
        </is>
      </c>
    </row>
    <row r="23">
      <c r="A23" s="7" t="inlineStr">
        <is>
          <t>L0020</t>
        </is>
      </c>
      <c r="B23" s="7" t="inlineStr">
        <is>
          <t>Mehta Hardware</t>
        </is>
      </c>
      <c r="C23" s="7" t="inlineStr">
        <is>
          <t>Stage 3</t>
        </is>
      </c>
      <c r="D23" s="7" t="n">
        <v>249</v>
      </c>
      <c r="E23" s="7" t="inlineStr">
        <is>
          <t>Sub-standard</t>
        </is>
      </c>
      <c r="F23" s="57" t="n">
        <v>1.86</v>
      </c>
      <c r="G23" s="57" t="n">
        <v>0</v>
      </c>
      <c r="H23" s="57">
        <f>F23-G23</f>
        <v/>
      </c>
      <c r="I23" s="58" t="n">
        <v>0</v>
      </c>
      <c r="J23" s="58" t="n">
        <v>0.1</v>
      </c>
      <c r="K23" s="57">
        <f>G23*I23+H23*J23</f>
        <v/>
      </c>
      <c r="L23" s="57" t="n">
        <v>0.843</v>
      </c>
      <c r="M23" s="7" t="inlineStr">
        <is>
          <t>n/a</t>
        </is>
      </c>
      <c r="N23" s="7" t="inlineStr">
        <is>
          <t>Sub-standard - 10% of total outstanding [para 32(1)]</t>
        </is>
      </c>
    </row>
    <row r="24">
      <c r="A24" s="7" t="inlineStr">
        <is>
          <t>L0022</t>
        </is>
      </c>
      <c r="B24" s="7" t="inlineStr">
        <is>
          <t>Dutta Printers</t>
        </is>
      </c>
      <c r="C24" s="7" t="inlineStr">
        <is>
          <t>Stage 1</t>
        </is>
      </c>
      <c r="D24" s="7" t="n">
        <v>0</v>
      </c>
      <c r="E24" s="7" t="inlineStr">
        <is>
          <t>Standard</t>
        </is>
      </c>
      <c r="F24" s="57" t="n">
        <v>3.77</v>
      </c>
      <c r="G24" s="57" t="n">
        <v>0</v>
      </c>
      <c r="H24" s="57">
        <f>F24-G24</f>
        <v/>
      </c>
      <c r="I24" s="58" t="n">
        <v>0</v>
      </c>
      <c r="J24" s="58" t="n">
        <v>0.004</v>
      </c>
      <c r="K24" s="57">
        <f>G24*I24+H24*J24</f>
        <v/>
      </c>
      <c r="L24" s="57" t="n">
        <v>0.041</v>
      </c>
      <c r="M24" s="7" t="inlineStr">
        <is>
          <t>n/a</t>
        </is>
      </c>
      <c r="N24" s="7" t="inlineStr">
        <is>
          <t>Standard asset, NBFC-ML - 0.40% flat [para 55]</t>
        </is>
      </c>
    </row>
    <row r="25">
      <c r="A25" s="7" t="inlineStr">
        <is>
          <t>L0023</t>
        </is>
      </c>
      <c r="B25" s="7" t="inlineStr">
        <is>
          <t>Sethi Furniture</t>
        </is>
      </c>
      <c r="C25" s="7" t="inlineStr">
        <is>
          <t>Stage 1</t>
        </is>
      </c>
      <c r="D25" s="7" t="n">
        <v>0</v>
      </c>
      <c r="E25" s="7" t="inlineStr">
        <is>
          <t>Standard</t>
        </is>
      </c>
      <c r="F25" s="57" t="n">
        <v>2.88</v>
      </c>
      <c r="G25" s="57" t="n">
        <v>0</v>
      </c>
      <c r="H25" s="57">
        <f>F25-G25</f>
        <v/>
      </c>
      <c r="I25" s="58" t="n">
        <v>0</v>
      </c>
      <c r="J25" s="58" t="n">
        <v>0.004</v>
      </c>
      <c r="K25" s="57">
        <f>G25*I25+H25*J25</f>
        <v/>
      </c>
      <c r="L25" s="57" t="n">
        <v>0.028</v>
      </c>
      <c r="M25" s="7" t="inlineStr">
        <is>
          <t>n/a</t>
        </is>
      </c>
      <c r="N25" s="7" t="inlineStr">
        <is>
          <t>Standard asset, NBFC-ML - 0.40% flat [para 55]</t>
        </is>
      </c>
    </row>
    <row r="26">
      <c r="A26" s="7" t="inlineStr">
        <is>
          <t>L0024</t>
        </is>
      </c>
      <c r="B26" s="7" t="inlineStr">
        <is>
          <t>Bansal Wires</t>
        </is>
      </c>
      <c r="C26" s="7" t="inlineStr">
        <is>
          <t>Stage 3</t>
        </is>
      </c>
      <c r="D26" s="7" t="n">
        <v>235</v>
      </c>
      <c r="E26" s="7" t="inlineStr">
        <is>
          <t>Sub-standard</t>
        </is>
      </c>
      <c r="F26" s="57" t="n">
        <v>0.77</v>
      </c>
      <c r="G26" s="57" t="n">
        <v>0</v>
      </c>
      <c r="H26" s="57">
        <f>F26-G26</f>
        <v/>
      </c>
      <c r="I26" s="58" t="n">
        <v>0</v>
      </c>
      <c r="J26" s="58" t="n">
        <v>0.1</v>
      </c>
      <c r="K26" s="57">
        <f>G26*I26+H26*J26</f>
        <v/>
      </c>
      <c r="L26" s="57" t="n">
        <v>0.403</v>
      </c>
      <c r="M26" s="7" t="inlineStr">
        <is>
          <t>n/a</t>
        </is>
      </c>
      <c r="N26" s="7" t="inlineStr">
        <is>
          <t>Sub-standard - 10% of total outstanding [para 32(1)]</t>
        </is>
      </c>
    </row>
    <row r="27">
      <c r="A27" s="7" t="inlineStr">
        <is>
          <t>L0025</t>
        </is>
      </c>
      <c r="B27" s="7" t="inlineStr">
        <is>
          <t>Thakur Transport</t>
        </is>
      </c>
      <c r="C27" s="7" t="inlineStr">
        <is>
          <t>Stage 1</t>
        </is>
      </c>
      <c r="D27" s="7" t="n">
        <v>0</v>
      </c>
      <c r="E27" s="7" t="inlineStr">
        <is>
          <t>Standard</t>
        </is>
      </c>
      <c r="F27" s="57" t="n">
        <v>0.37</v>
      </c>
      <c r="G27" s="57" t="n">
        <v>0</v>
      </c>
      <c r="H27" s="57">
        <f>F27-G27</f>
        <v/>
      </c>
      <c r="I27" s="58" t="n">
        <v>0</v>
      </c>
      <c r="J27" s="58" t="n">
        <v>0.004</v>
      </c>
      <c r="K27" s="57">
        <f>G27*I27+H27*J27</f>
        <v/>
      </c>
      <c r="L27" s="57" t="n">
        <v>0.003</v>
      </c>
      <c r="M27" s="7" t="inlineStr">
        <is>
          <t>n/a</t>
        </is>
      </c>
      <c r="N27" s="7" t="inlineStr">
        <is>
          <t>Standard asset, NBFC-ML - 0.40% flat [para 55]</t>
        </is>
      </c>
    </row>
    <row r="28">
      <c r="A28" s="7" t="inlineStr">
        <is>
          <t>L0026</t>
        </is>
      </c>
      <c r="B28" s="7" t="inlineStr">
        <is>
          <t>Ghosh Seafoods</t>
        </is>
      </c>
      <c r="C28" s="7" t="inlineStr">
        <is>
          <t>Stage 1</t>
        </is>
      </c>
      <c r="D28" s="7" t="n">
        <v>0</v>
      </c>
      <c r="E28" s="7" t="inlineStr">
        <is>
          <t>Standard</t>
        </is>
      </c>
      <c r="F28" s="57" t="n">
        <v>3.48</v>
      </c>
      <c r="G28" s="57" t="n">
        <v>0</v>
      </c>
      <c r="H28" s="57">
        <f>F28-G28</f>
        <v/>
      </c>
      <c r="I28" s="58" t="n">
        <v>0</v>
      </c>
      <c r="J28" s="58" t="n">
        <v>0.004</v>
      </c>
      <c r="K28" s="57">
        <f>G28*I28+H28*J28</f>
        <v/>
      </c>
      <c r="L28" s="57" t="n">
        <v>0.04</v>
      </c>
      <c r="M28" s="7" t="inlineStr">
        <is>
          <t>n/a</t>
        </is>
      </c>
      <c r="N28" s="7" t="inlineStr">
        <is>
          <t>Standard asset, NBFC-ML - 0.40% flat [para 55]</t>
        </is>
      </c>
    </row>
    <row r="29">
      <c r="A29" s="7" t="inlineStr">
        <is>
          <t>L0027</t>
        </is>
      </c>
      <c r="B29" s="7" t="inlineStr">
        <is>
          <t>Malhotra Tools</t>
        </is>
      </c>
      <c r="C29" s="7" t="inlineStr">
        <is>
          <t>Stage 2</t>
        </is>
      </c>
      <c r="D29" s="7" t="n">
        <v>74</v>
      </c>
      <c r="E29" s="7" t="inlineStr">
        <is>
          <t>Standard</t>
        </is>
      </c>
      <c r="F29" s="57" t="n">
        <v>2.85</v>
      </c>
      <c r="G29" s="57" t="n">
        <v>0</v>
      </c>
      <c r="H29" s="57">
        <f>F29-G29</f>
        <v/>
      </c>
      <c r="I29" s="58" t="n">
        <v>0</v>
      </c>
      <c r="J29" s="58" t="n">
        <v>0.004</v>
      </c>
      <c r="K29" s="57">
        <f>G29*I29+H29*J29</f>
        <v/>
      </c>
      <c r="L29" s="57" t="n">
        <v>0.464</v>
      </c>
      <c r="M29" s="7" t="inlineStr">
        <is>
          <t>n/a</t>
        </is>
      </c>
      <c r="N29" s="7" t="inlineStr">
        <is>
          <t>Standard asset, NBFC-ML - 0.40% flat [para 55]</t>
        </is>
      </c>
    </row>
    <row r="30">
      <c r="A30" s="7" t="inlineStr">
        <is>
          <t>L0028</t>
        </is>
      </c>
      <c r="B30" s="7" t="inlineStr">
        <is>
          <t>Naidu Poultry</t>
        </is>
      </c>
      <c r="C30" s="7" t="inlineStr">
        <is>
          <t>Stage 1</t>
        </is>
      </c>
      <c r="D30" s="7" t="n">
        <v>0</v>
      </c>
      <c r="E30" s="7" t="inlineStr">
        <is>
          <t>Standard</t>
        </is>
      </c>
      <c r="F30" s="57" t="n">
        <v>3.39</v>
      </c>
      <c r="G30" s="57" t="n">
        <v>0</v>
      </c>
      <c r="H30" s="57">
        <f>F30-G30</f>
        <v/>
      </c>
      <c r="I30" s="58" t="n">
        <v>0</v>
      </c>
      <c r="J30" s="58" t="n">
        <v>0.004</v>
      </c>
      <c r="K30" s="57">
        <f>G30*I30+H30*J30</f>
        <v/>
      </c>
      <c r="L30" s="57" t="n">
        <v>0.039</v>
      </c>
      <c r="M30" s="7" t="inlineStr">
        <is>
          <t>n/a</t>
        </is>
      </c>
      <c r="N30" s="7" t="inlineStr">
        <is>
          <t>Standard asset, NBFC-ML - 0.40% flat [para 55]</t>
        </is>
      </c>
    </row>
    <row r="31">
      <c r="A31" s="7" t="inlineStr">
        <is>
          <t>L0029</t>
        </is>
      </c>
      <c r="B31" s="7" t="inlineStr">
        <is>
          <t>Chopra Interiors</t>
        </is>
      </c>
      <c r="C31" s="7" t="inlineStr">
        <is>
          <t>Stage 1</t>
        </is>
      </c>
      <c r="D31" s="7" t="n">
        <v>7</v>
      </c>
      <c r="E31" s="7" t="inlineStr">
        <is>
          <t>Standard</t>
        </is>
      </c>
      <c r="F31" s="57" t="n">
        <v>3.28</v>
      </c>
      <c r="G31" s="57" t="n">
        <v>0</v>
      </c>
      <c r="H31" s="57">
        <f>F31-G31</f>
        <v/>
      </c>
      <c r="I31" s="58" t="n">
        <v>0</v>
      </c>
      <c r="J31" s="58" t="n">
        <v>0.004</v>
      </c>
      <c r="K31" s="57">
        <f>G31*I31+H31*J31</f>
        <v/>
      </c>
      <c r="L31" s="57" t="n">
        <v>0.019</v>
      </c>
      <c r="M31" s="7" t="inlineStr">
        <is>
          <t>n/a</t>
        </is>
      </c>
      <c r="N31" s="7" t="inlineStr">
        <is>
          <t>Standard asset, NBFC-ML - 0.40% flat [para 55]</t>
        </is>
      </c>
    </row>
    <row r="32">
      <c r="A32" s="7" t="inlineStr">
        <is>
          <t>L0030</t>
        </is>
      </c>
      <c r="B32" s="7" t="inlineStr">
        <is>
          <t>Saxena Cables</t>
        </is>
      </c>
      <c r="C32" s="7" t="inlineStr">
        <is>
          <t>Stage 1</t>
        </is>
      </c>
      <c r="D32" s="7" t="n">
        <v>0</v>
      </c>
      <c r="E32" s="7" t="inlineStr">
        <is>
          <t>Standard</t>
        </is>
      </c>
      <c r="F32" s="57" t="n">
        <v>4.92</v>
      </c>
      <c r="G32" s="57" t="n">
        <v>0</v>
      </c>
      <c r="H32" s="57">
        <f>F32-G32</f>
        <v/>
      </c>
      <c r="I32" s="58" t="n">
        <v>0</v>
      </c>
      <c r="J32" s="58" t="n">
        <v>0.004</v>
      </c>
      <c r="K32" s="57">
        <f>G32*I32+H32*J32</f>
        <v/>
      </c>
      <c r="L32" s="57" t="n">
        <v>0.031</v>
      </c>
      <c r="M32" s="7" t="inlineStr">
        <is>
          <t>n/a</t>
        </is>
      </c>
      <c r="N32" s="7" t="inlineStr">
        <is>
          <t>Standard asset, NBFC-ML - 0.40% flat [para 55]</t>
        </is>
      </c>
    </row>
    <row r="33">
      <c r="A33" s="7" t="inlineStr">
        <is>
          <t>L0031</t>
        </is>
      </c>
      <c r="B33" s="7" t="inlineStr">
        <is>
          <t>Deshmukh Dairy</t>
        </is>
      </c>
      <c r="C33" s="7" t="inlineStr">
        <is>
          <t>Stage 1</t>
        </is>
      </c>
      <c r="D33" s="7" t="n">
        <v>0</v>
      </c>
      <c r="E33" s="7" t="inlineStr">
        <is>
          <t>Standard</t>
        </is>
      </c>
      <c r="F33" s="57" t="n">
        <v>5.03</v>
      </c>
      <c r="G33" s="57" t="n">
        <v>0</v>
      </c>
      <c r="H33" s="57">
        <f>F33-G33</f>
        <v/>
      </c>
      <c r="I33" s="58" t="n">
        <v>0</v>
      </c>
      <c r="J33" s="58" t="n">
        <v>0.004</v>
      </c>
      <c r="K33" s="57">
        <f>G33*I33+H33*J33</f>
        <v/>
      </c>
      <c r="L33" s="57" t="n">
        <v>0.043</v>
      </c>
      <c r="M33" s="7" t="inlineStr">
        <is>
          <t>n/a</t>
        </is>
      </c>
      <c r="N33" s="7" t="inlineStr">
        <is>
          <t>Standard asset, NBFC-ML - 0.40% flat [para 55]</t>
        </is>
      </c>
    </row>
    <row r="34">
      <c r="A34" s="7" t="inlineStr">
        <is>
          <t>L0032</t>
        </is>
      </c>
      <c r="B34" s="7" t="inlineStr">
        <is>
          <t>Ahuja Footwear</t>
        </is>
      </c>
      <c r="C34" s="7" t="inlineStr">
        <is>
          <t>Stage 3</t>
        </is>
      </c>
      <c r="D34" s="7" t="n">
        <v>249</v>
      </c>
      <c r="E34" s="7" t="inlineStr">
        <is>
          <t>Sub-standard</t>
        </is>
      </c>
      <c r="F34" s="57" t="n">
        <v>1.29</v>
      </c>
      <c r="G34" s="57" t="n">
        <v>0</v>
      </c>
      <c r="H34" s="57">
        <f>F34-G34</f>
        <v/>
      </c>
      <c r="I34" s="58" t="n">
        <v>0</v>
      </c>
      <c r="J34" s="58" t="n">
        <v>0.1</v>
      </c>
      <c r="K34" s="57">
        <f>G34*I34+H34*J34</f>
        <v/>
      </c>
      <c r="L34" s="57" t="n">
        <v>0.864</v>
      </c>
      <c r="M34" s="7" t="inlineStr">
        <is>
          <t>n/a</t>
        </is>
      </c>
      <c r="N34" s="7" t="inlineStr">
        <is>
          <t>Sub-standard - 10% of total outstanding [para 32(1)]</t>
        </is>
      </c>
    </row>
    <row r="35">
      <c r="A35" s="7" t="inlineStr">
        <is>
          <t>L0033</t>
        </is>
      </c>
      <c r="B35" s="7" t="inlineStr">
        <is>
          <t>Trivedi Tiles</t>
        </is>
      </c>
      <c r="C35" s="7" t="inlineStr">
        <is>
          <t>Stage 1</t>
        </is>
      </c>
      <c r="D35" s="7" t="n">
        <v>0</v>
      </c>
      <c r="E35" s="7" t="inlineStr">
        <is>
          <t>Standard</t>
        </is>
      </c>
      <c r="F35" s="57" t="n">
        <v>5.2</v>
      </c>
      <c r="G35" s="57" t="n">
        <v>0</v>
      </c>
      <c r="H35" s="57">
        <f>F35-G35</f>
        <v/>
      </c>
      <c r="I35" s="58" t="n">
        <v>0</v>
      </c>
      <c r="J35" s="58" t="n">
        <v>0.004</v>
      </c>
      <c r="K35" s="57">
        <f>G35*I35+H35*J35</f>
        <v/>
      </c>
      <c r="L35" s="57" t="n">
        <v>0.068</v>
      </c>
      <c r="M35" s="7" t="inlineStr">
        <is>
          <t>n/a</t>
        </is>
      </c>
      <c r="N35" s="7" t="inlineStr">
        <is>
          <t>Standard asset, NBFC-ML - 0.40% flat [para 55]</t>
        </is>
      </c>
    </row>
    <row r="36">
      <c r="A36" s="7" t="inlineStr">
        <is>
          <t>L0035</t>
        </is>
      </c>
      <c r="B36" s="7" t="inlineStr">
        <is>
          <t>Lal Fasteners</t>
        </is>
      </c>
      <c r="C36" s="7" t="inlineStr">
        <is>
          <t>Stage 3</t>
        </is>
      </c>
      <c r="D36" s="7" t="n">
        <v>214</v>
      </c>
      <c r="E36" s="7" t="inlineStr">
        <is>
          <t>Sub-standard</t>
        </is>
      </c>
      <c r="F36" s="57" t="n">
        <v>3.62</v>
      </c>
      <c r="G36" s="57" t="n">
        <v>0</v>
      </c>
      <c r="H36" s="57">
        <f>F36-G36</f>
        <v/>
      </c>
      <c r="I36" s="58" t="n">
        <v>0</v>
      </c>
      <c r="J36" s="58" t="n">
        <v>0.1</v>
      </c>
      <c r="K36" s="57">
        <f>G36*I36+H36*J36</f>
        <v/>
      </c>
      <c r="L36" s="57" t="n">
        <v>1.736</v>
      </c>
      <c r="M36" s="7" t="inlineStr">
        <is>
          <t>n/a</t>
        </is>
      </c>
      <c r="N36" s="7" t="inlineStr">
        <is>
          <t>Sub-standard - 10% of total outstanding [para 32(1)]</t>
        </is>
      </c>
    </row>
    <row r="37">
      <c r="A37" s="7" t="inlineStr">
        <is>
          <t>L0036</t>
        </is>
      </c>
      <c r="B37" s="7" t="inlineStr">
        <is>
          <t>Karthik Solar</t>
        </is>
      </c>
      <c r="C37" s="7" t="inlineStr">
        <is>
          <t>Stage 3</t>
        </is>
      </c>
      <c r="D37" s="7" t="n">
        <v>296</v>
      </c>
      <c r="E37" s="7" t="inlineStr">
        <is>
          <t>Sub-standard</t>
        </is>
      </c>
      <c r="F37" s="57" t="n">
        <v>3.74</v>
      </c>
      <c r="G37" s="57" t="n">
        <v>0</v>
      </c>
      <c r="H37" s="57">
        <f>F37-G37</f>
        <v/>
      </c>
      <c r="I37" s="58" t="n">
        <v>0</v>
      </c>
      <c r="J37" s="58" t="n">
        <v>0.1</v>
      </c>
      <c r="K37" s="57">
        <f>G37*I37+H37*J37</f>
        <v/>
      </c>
      <c r="L37" s="57" t="n">
        <v>1.872</v>
      </c>
      <c r="M37" s="7" t="inlineStr">
        <is>
          <t>n/a</t>
        </is>
      </c>
      <c r="N37" s="7" t="inlineStr">
        <is>
          <t>Sub-standard - 10% of total outstanding [para 32(1)]</t>
        </is>
      </c>
    </row>
    <row r="38">
      <c r="A38" s="7" t="inlineStr">
        <is>
          <t>L0037</t>
        </is>
      </c>
      <c r="B38" s="7" t="inlineStr">
        <is>
          <t>Prasad Mills</t>
        </is>
      </c>
      <c r="C38" s="7" t="inlineStr">
        <is>
          <t>Stage 1</t>
        </is>
      </c>
      <c r="D38" s="7" t="n">
        <v>0</v>
      </c>
      <c r="E38" s="7" t="inlineStr">
        <is>
          <t>Standard</t>
        </is>
      </c>
      <c r="F38" s="57" t="n">
        <v>3.16</v>
      </c>
      <c r="G38" s="57" t="n">
        <v>0</v>
      </c>
      <c r="H38" s="57">
        <f>F38-G38</f>
        <v/>
      </c>
      <c r="I38" s="58" t="n">
        <v>0</v>
      </c>
      <c r="J38" s="58" t="n">
        <v>0.004</v>
      </c>
      <c r="K38" s="57">
        <f>G38*I38+H38*J38</f>
        <v/>
      </c>
      <c r="L38" s="57" t="n">
        <v>0.017</v>
      </c>
      <c r="M38" s="7" t="inlineStr">
        <is>
          <t>n/a</t>
        </is>
      </c>
      <c r="N38" s="7" t="inlineStr">
        <is>
          <t>Standard asset, NBFC-ML - 0.40% flat [para 55]</t>
        </is>
      </c>
    </row>
    <row r="39">
      <c r="A39" s="7" t="inlineStr">
        <is>
          <t>L0038</t>
        </is>
      </c>
      <c r="B39" s="7" t="inlineStr">
        <is>
          <t>Fernandes Spices</t>
        </is>
      </c>
      <c r="C39" s="7" t="inlineStr">
        <is>
          <t>Stage 1</t>
        </is>
      </c>
      <c r="D39" s="7" t="n">
        <v>0</v>
      </c>
      <c r="E39" s="7" t="inlineStr">
        <is>
          <t>Standard</t>
        </is>
      </c>
      <c r="F39" s="57" t="n">
        <v>5.08</v>
      </c>
      <c r="G39" s="57" t="n">
        <v>0</v>
      </c>
      <c r="H39" s="57">
        <f>F39-G39</f>
        <v/>
      </c>
      <c r="I39" s="58" t="n">
        <v>0</v>
      </c>
      <c r="J39" s="58" t="n">
        <v>0.004</v>
      </c>
      <c r="K39" s="57">
        <f>G39*I39+H39*J39</f>
        <v/>
      </c>
      <c r="L39" s="57" t="n">
        <v>0.038</v>
      </c>
      <c r="M39" s="7" t="inlineStr">
        <is>
          <t>n/a</t>
        </is>
      </c>
      <c r="N39" s="7" t="inlineStr">
        <is>
          <t>Standard asset, NBFC-ML - 0.40% flat [para 55]</t>
        </is>
      </c>
    </row>
    <row r="40">
      <c r="A40" s="7" t="inlineStr">
        <is>
          <t>L0039</t>
        </is>
      </c>
      <c r="B40" s="7" t="inlineStr">
        <is>
          <t>Wadhwa Paints</t>
        </is>
      </c>
      <c r="C40" s="7" t="inlineStr">
        <is>
          <t>Stage 1</t>
        </is>
      </c>
      <c r="D40" s="7" t="n">
        <v>0</v>
      </c>
      <c r="E40" s="7" t="inlineStr">
        <is>
          <t>Standard</t>
        </is>
      </c>
      <c r="F40" s="57" t="n">
        <v>1.51</v>
      </c>
      <c r="G40" s="57" t="n">
        <v>0</v>
      </c>
      <c r="H40" s="57">
        <f>F40-G40</f>
        <v/>
      </c>
      <c r="I40" s="58" t="n">
        <v>0</v>
      </c>
      <c r="J40" s="58" t="n">
        <v>0.004</v>
      </c>
      <c r="K40" s="57">
        <f>G40*I40+H40*J40</f>
        <v/>
      </c>
      <c r="L40" s="57" t="n">
        <v>0.021</v>
      </c>
      <c r="M40" s="7" t="inlineStr">
        <is>
          <t>n/a</t>
        </is>
      </c>
      <c r="N40" s="7" t="inlineStr">
        <is>
          <t>Standard asset, NBFC-ML - 0.40% flat [para 55]</t>
        </is>
      </c>
    </row>
    <row r="41">
      <c r="A41" s="7" t="inlineStr">
        <is>
          <t>L0040</t>
        </is>
      </c>
      <c r="B41" s="7" t="inlineStr">
        <is>
          <t>Roy Bearings</t>
        </is>
      </c>
      <c r="C41" s="7" t="inlineStr">
        <is>
          <t>Stage 1</t>
        </is>
      </c>
      <c r="D41" s="7" t="n">
        <v>0</v>
      </c>
      <c r="E41" s="7" t="inlineStr">
        <is>
          <t>Standard</t>
        </is>
      </c>
      <c r="F41" s="57" t="n">
        <v>3.4</v>
      </c>
      <c r="G41" s="57" t="n">
        <v>0</v>
      </c>
      <c r="H41" s="57">
        <f>F41-G41</f>
        <v/>
      </c>
      <c r="I41" s="58" t="n">
        <v>0</v>
      </c>
      <c r="J41" s="58" t="n">
        <v>0.004</v>
      </c>
      <c r="K41" s="57">
        <f>G41*I41+H41*J41</f>
        <v/>
      </c>
      <c r="L41" s="57" t="n">
        <v>0.028</v>
      </c>
      <c r="M41" s="7" t="inlineStr">
        <is>
          <t>n/a</t>
        </is>
      </c>
      <c r="N41" s="7" t="inlineStr">
        <is>
          <t>Standard asset, NBFC-ML - 0.40% flat [para 55]</t>
        </is>
      </c>
    </row>
  </sheetData>
  <autoFilter ref="A4:N41"/>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9"/>
  <sheetViews>
    <sheetView workbookViewId="0">
      <selection activeCell="A1" sqref="A1"/>
    </sheetView>
  </sheetViews>
  <sheetFormatPr baseColWidth="8" defaultRowHeight="15"/>
  <cols>
    <col width="20" customWidth="1" min="1" max="1"/>
    <col width="4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RBI IRACP vs Ind AS 109 Provisioning Comparison — Q4FY26</t>
        </is>
      </c>
    </row>
    <row r="2">
      <c r="A2" s="2" t="inlineStr">
        <is>
          <t>Auto-computed per loan from DPD. NBFC-Middle Layer rates (RBI IRACP Directions, 2025 - para 51/52/53/32/55). Per RBI (NBFC – IRACP) Directions, 2025: where Ind AS 109 ECL is lower than the IRACP floor, the shortfall is appropriated from net profit after tax to a separate 'Impairment Reserve' (not reckoned for regulatory capital). Category totals below are live SUMIF formulas against the 'IRACP_LoanWorking_Q4FY26' sheet.</t>
        </is>
      </c>
    </row>
    <row r="4">
      <c r="A4" s="48" t="inlineStr">
        <is>
          <t>IRACP Asset Category</t>
        </is>
      </c>
      <c r="B4" s="48" t="inlineStr">
        <is>
          <t>Rate(s) Applied</t>
        </is>
      </c>
      <c r="C4" s="48" t="inlineStr">
        <is>
          <t>Loan_Count</t>
        </is>
      </c>
      <c r="D4" s="48" t="inlineStr">
        <is>
          <t>Outstanding_Cr</t>
        </is>
      </c>
      <c r="E4" s="48" t="inlineStr">
        <is>
          <t>Secured_Cr</t>
        </is>
      </c>
      <c r="F4" s="48" t="inlineStr">
        <is>
          <t>Unsecured_Cr</t>
        </is>
      </c>
      <c r="G4" s="48" t="inlineStr">
        <is>
          <t>Ind_AS_109_ECL_Provision_Cr</t>
        </is>
      </c>
      <c r="H4" s="48" t="inlineStr">
        <is>
          <t>IRACP_Provision_Cr</t>
        </is>
      </c>
      <c r="I4" s="48" t="inlineStr">
        <is>
          <t>Excess/(Shortfall) of Ind AS 109 over IRACP_Cr</t>
        </is>
      </c>
    </row>
    <row r="5">
      <c r="A5" t="inlineStr">
        <is>
          <t>Standard</t>
        </is>
      </c>
      <c r="B5" t="inlineStr">
        <is>
          <t>0.40% of outstanding [para 55]</t>
        </is>
      </c>
      <c r="C5" s="59">
        <f>COUNTIF(IRACP_LoanWorking_Q4FY26!E5:E41,A5)</f>
        <v/>
      </c>
      <c r="D5" s="50">
        <f>SUMIF(IRACP_LoanWorking_Q4FY26!E5:E41,A5,IRACP_LoanWorking_Q4FY26!F5:F41)</f>
        <v/>
      </c>
      <c r="E5" s="50">
        <f>SUMIF(IRACP_LoanWorking_Q4FY26!E5:E41,A5,IRACP_LoanWorking_Q4FY26!G5:G41)</f>
        <v/>
      </c>
      <c r="F5" s="50">
        <f>SUMIF(IRACP_LoanWorking_Q4FY26!E5:E41,A5,IRACP_LoanWorking_Q4FY26!H5:H41)</f>
        <v/>
      </c>
      <c r="G5" s="50">
        <f>SUMIF(IRACP_LoanWorking_Q4FY26!E5:E41,A5,IRACP_LoanWorking_Q4FY26!L5:L41)</f>
        <v/>
      </c>
      <c r="H5" s="50">
        <f>SUMIF(IRACP_LoanWorking_Q4FY26!E5:E41,A5,IRACP_LoanWorking_Q4FY26!K5:K41)</f>
        <v/>
      </c>
      <c r="I5" s="54">
        <f>G5-H5</f>
        <v/>
      </c>
    </row>
    <row r="6">
      <c r="A6" t="inlineStr">
        <is>
          <t>Sub-standard</t>
        </is>
      </c>
      <c r="B6" t="inlineStr">
        <is>
          <t>10% of outstanding [para 32(1)]</t>
        </is>
      </c>
      <c r="C6" s="59">
        <f>COUNTIF(IRACP_LoanWorking_Q4FY26!E5:E41,A6)</f>
        <v/>
      </c>
      <c r="D6" s="50">
        <f>SUMIF(IRACP_LoanWorking_Q4FY26!E5:E41,A6,IRACP_LoanWorking_Q4FY26!F5:F41)</f>
        <v/>
      </c>
      <c r="E6" s="50">
        <f>SUMIF(IRACP_LoanWorking_Q4FY26!E5:E41,A6,IRACP_LoanWorking_Q4FY26!G5:G41)</f>
        <v/>
      </c>
      <c r="F6" s="50">
        <f>SUMIF(IRACP_LoanWorking_Q4FY26!E5:E41,A6,IRACP_LoanWorking_Q4FY26!H5:H41)</f>
        <v/>
      </c>
      <c r="G6" s="50">
        <f>SUMIF(IRACP_LoanWorking_Q4FY26!E5:E41,A6,IRACP_LoanWorking_Q4FY26!L5:L41)</f>
        <v/>
      </c>
      <c r="H6" s="50">
        <f>SUMIF(IRACP_LoanWorking_Q4FY26!E5:E41,A6,IRACP_LoanWorking_Q4FY26!K5:K41)</f>
        <v/>
      </c>
      <c r="I6" s="54">
        <f>G6-H6</f>
        <v/>
      </c>
    </row>
    <row r="7">
      <c r="A7" t="inlineStr">
        <is>
          <t>TOTAL</t>
        </is>
      </c>
      <c r="B7" t="inlineStr"/>
      <c r="C7" s="59">
        <f>SUM(C5:C6)</f>
        <v/>
      </c>
      <c r="D7" s="50">
        <f>SUM(D5:D6)</f>
        <v/>
      </c>
      <c r="E7" s="50">
        <f>SUM(E5:E6)</f>
        <v/>
      </c>
      <c r="F7" s="50">
        <f>SUM(F5:F6)</f>
        <v/>
      </c>
      <c r="G7" s="50">
        <f>SUM(G5:G6)</f>
        <v/>
      </c>
      <c r="H7" s="50">
        <f>SUM(H5:H6)</f>
        <v/>
      </c>
      <c r="I7" s="54">
        <f>SUM(I5:I6)</f>
        <v/>
      </c>
    </row>
    <row r="9">
      <c r="A9" s="60" t="inlineStr">
        <is>
          <t>RESULT: Ind AS 109 provision meets or exceeds the IRACP floor. No Impairment Reserve appropriation required.</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5"/>
  <sheetViews>
    <sheetView workbookViewId="0">
      <selection activeCell="A1" sqref="A1"/>
    </sheetView>
  </sheetViews>
  <sheetFormatPr baseColWidth="8" defaultRowHeight="15"/>
  <cols>
    <col width="20" customWidth="1" min="1" max="1"/>
    <col width="20" customWidth="1" min="2" max="2"/>
    <col width="23" customWidth="1" min="3" max="3"/>
    <col width="20" customWidth="1" min="4" max="4"/>
    <col width="31" customWidth="1" min="5" max="5"/>
    <col width="41" customWidth="1" min="6" max="6"/>
  </cols>
  <sheetData>
    <row r="1">
      <c r="A1" s="1" t="inlineStr">
        <is>
          <t>IRACP Computation — Assumptions Register — Q4FY26</t>
        </is>
      </c>
    </row>
    <row r="2">
      <c r="A2" s="2" t="inlineStr">
        <is>
          <t>Where realisable security value was not supplied, doubtful assets are treated as fully unsecured. Per para 32(2)(i) this can only OVERSTATE the prudential floor, never understate it. Supply Secured_Value_Cr to refine.</t>
        </is>
      </c>
    </row>
    <row r="4">
      <c r="A4" s="4" t="inlineStr">
        <is>
          <t>Assumption</t>
        </is>
      </c>
      <c r="B4" s="4" t="inlineStr">
        <is>
          <t>Regulatory basis</t>
        </is>
      </c>
      <c r="C4" s="4" t="inlineStr">
        <is>
          <t>Effect on IRACP floor</t>
        </is>
      </c>
      <c r="D4" s="4" t="inlineStr">
        <is>
          <t>Loans affected</t>
        </is>
      </c>
      <c r="E4" s="4" t="inlineStr">
        <is>
          <t>Outstanding affected (Rs. Cr)</t>
        </is>
      </c>
      <c r="F4" s="4" t="inlineStr">
        <is>
          <t>IRACP provision on these loans (Rs. Cr)</t>
        </is>
      </c>
    </row>
    <row r="5">
      <c r="A5" s="7" t="inlineStr">
        <is>
          <t>None - realisable security value was supplied for every doubtful asset</t>
        </is>
      </c>
      <c r="B5" s="7" t="inlineStr">
        <is>
          <t>Para 32(2)</t>
        </is>
      </c>
      <c r="C5" s="7" t="inlineStr">
        <is>
          <t>Nil</t>
        </is>
      </c>
      <c r="D5" s="7" t="n">
        <v>0</v>
      </c>
      <c r="E5" s="7" t="n">
        <v>0</v>
      </c>
      <c r="F5" s="7" t="n">
        <v>0</v>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2026-09-03T02:22:14Z</dcterms:created>
  <dcterms:modified xmlns:dcterms="http://purl.org/dc/terms/" xmlns:xsi="http://www.w3.org/2001/XMLSchema-instance" xsi:type="dcterms:W3CDTF">2026-09-03T02:22:14Z</dcterms:modified>
</cp:coreProperties>
</file>